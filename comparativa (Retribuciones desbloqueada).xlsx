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PE CÉSAR\ANPE NACIONAL\GRUPO TRABAJO D\2026\"/>
    </mc:Choice>
  </mc:AlternateContent>
  <xr:revisionPtr revIDLastSave="0" documentId="13_ncr:1_{DD9B0591-3616-4305-9D7F-8CC6281CC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ómina mensual" sheetId="8" r:id="rId1"/>
    <sheet name="Retribuciones" sheetId="11" r:id="rId2"/>
    <sheet name="DATOS" sheetId="12" r:id="rId3"/>
  </sheets>
  <definedNames>
    <definedName name="_xlnm._FilterDatabase" localSheetId="0" hidden="1">'Nómina mensual'!$B$5:$U$41</definedName>
  </definedNames>
  <calcPr calcId="191029"/>
</workbook>
</file>

<file path=xl/calcChain.xml><?xml version="1.0" encoding="utf-8"?>
<calcChain xmlns="http://schemas.openxmlformats.org/spreadsheetml/2006/main">
  <c r="N654" i="11" l="1"/>
  <c r="M654" i="11"/>
  <c r="L654" i="11"/>
  <c r="K654" i="11"/>
  <c r="J654" i="11"/>
  <c r="I654" i="11"/>
  <c r="H654" i="11"/>
  <c r="G654" i="11"/>
  <c r="F654" i="11"/>
  <c r="C654" i="11"/>
  <c r="N653" i="11"/>
  <c r="M653" i="11"/>
  <c r="L653" i="11"/>
  <c r="K653" i="11"/>
  <c r="J653" i="11"/>
  <c r="I653" i="11"/>
  <c r="H653" i="11"/>
  <c r="G653" i="11"/>
  <c r="F653" i="11"/>
  <c r="C653" i="11"/>
  <c r="C652" i="11"/>
  <c r="J651" i="11"/>
  <c r="F651" i="11"/>
  <c r="AC650" i="11"/>
  <c r="AB650" i="11"/>
  <c r="N650" i="11"/>
  <c r="M650" i="11"/>
  <c r="L650" i="11"/>
  <c r="K650" i="11"/>
  <c r="J650" i="11"/>
  <c r="I650" i="11"/>
  <c r="H650" i="11"/>
  <c r="G650" i="11"/>
  <c r="F650" i="11"/>
  <c r="C650" i="11"/>
  <c r="N649" i="11"/>
  <c r="M649" i="11"/>
  <c r="L649" i="11"/>
  <c r="K649" i="11"/>
  <c r="J649" i="11"/>
  <c r="I649" i="11"/>
  <c r="H649" i="11"/>
  <c r="G649" i="11"/>
  <c r="F649" i="11"/>
  <c r="C649" i="11"/>
  <c r="N648" i="11"/>
  <c r="M648" i="11"/>
  <c r="L648" i="11"/>
  <c r="K648" i="11"/>
  <c r="J648" i="11"/>
  <c r="I648" i="11"/>
  <c r="H648" i="11"/>
  <c r="G648" i="11"/>
  <c r="F648" i="11"/>
  <c r="C648" i="11"/>
  <c r="N647" i="11"/>
  <c r="M647" i="11"/>
  <c r="L647" i="11"/>
  <c r="K647" i="11"/>
  <c r="J647" i="11"/>
  <c r="I647" i="11"/>
  <c r="H647" i="11"/>
  <c r="G647" i="11"/>
  <c r="F647" i="11"/>
  <c r="C647" i="11"/>
  <c r="N646" i="11"/>
  <c r="M646" i="11"/>
  <c r="L646" i="11"/>
  <c r="K646" i="11"/>
  <c r="J646" i="11"/>
  <c r="I646" i="11"/>
  <c r="H646" i="11"/>
  <c r="G646" i="11"/>
  <c r="F646" i="11"/>
  <c r="C646" i="11"/>
  <c r="N645" i="11"/>
  <c r="M645" i="11"/>
  <c r="L645" i="11"/>
  <c r="K645" i="11"/>
  <c r="J645" i="11"/>
  <c r="I645" i="11"/>
  <c r="H645" i="11"/>
  <c r="G645" i="11"/>
  <c r="F645" i="11"/>
  <c r="C645" i="11"/>
  <c r="N644" i="11"/>
  <c r="M644" i="11"/>
  <c r="L644" i="11"/>
  <c r="K644" i="11"/>
  <c r="J644" i="11"/>
  <c r="I644" i="11"/>
  <c r="H644" i="11"/>
  <c r="G644" i="11"/>
  <c r="F644" i="11"/>
  <c r="C644" i="11"/>
  <c r="N643" i="11"/>
  <c r="M643" i="11"/>
  <c r="L643" i="11"/>
  <c r="K643" i="11"/>
  <c r="J643" i="11"/>
  <c r="I643" i="11"/>
  <c r="H643" i="11"/>
  <c r="G643" i="11"/>
  <c r="F643" i="11"/>
  <c r="C643" i="11"/>
  <c r="N642" i="11"/>
  <c r="M642" i="11"/>
  <c r="L642" i="11"/>
  <c r="K642" i="11"/>
  <c r="J642" i="11"/>
  <c r="I642" i="11"/>
  <c r="H642" i="11"/>
  <c r="G642" i="11"/>
  <c r="F642" i="11"/>
  <c r="C642" i="11"/>
  <c r="N641" i="11"/>
  <c r="M641" i="11"/>
  <c r="L641" i="11"/>
  <c r="K641" i="11"/>
  <c r="J641" i="11"/>
  <c r="I641" i="11"/>
  <c r="H641" i="11"/>
  <c r="G641" i="11"/>
  <c r="F641" i="11"/>
  <c r="C641" i="11"/>
  <c r="N640" i="11"/>
  <c r="M640" i="11"/>
  <c r="L640" i="11"/>
  <c r="K640" i="11"/>
  <c r="J640" i="11"/>
  <c r="I640" i="11"/>
  <c r="H640" i="11"/>
  <c r="G640" i="11"/>
  <c r="F640" i="11"/>
  <c r="C640" i="11"/>
  <c r="N639" i="11"/>
  <c r="M639" i="11"/>
  <c r="L639" i="11"/>
  <c r="K639" i="11"/>
  <c r="J639" i="11"/>
  <c r="I639" i="11"/>
  <c r="H639" i="11"/>
  <c r="G639" i="11"/>
  <c r="F639" i="11"/>
  <c r="C639" i="11"/>
  <c r="N638" i="11"/>
  <c r="M638" i="11"/>
  <c r="L638" i="11"/>
  <c r="K638" i="11"/>
  <c r="J638" i="11"/>
  <c r="I638" i="11"/>
  <c r="H638" i="11"/>
  <c r="G638" i="11"/>
  <c r="F638" i="11"/>
  <c r="C638" i="11"/>
  <c r="M637" i="11"/>
  <c r="L637" i="11"/>
  <c r="K637" i="11"/>
  <c r="J637" i="11"/>
  <c r="H637" i="11"/>
  <c r="G637" i="11"/>
  <c r="F637" i="11"/>
  <c r="C636" i="11"/>
  <c r="L635" i="11"/>
  <c r="K635" i="11"/>
  <c r="J635" i="11"/>
  <c r="H635" i="11"/>
  <c r="C635" i="11"/>
  <c r="H634" i="11"/>
  <c r="G634" i="11"/>
  <c r="C634" i="11"/>
  <c r="H633" i="11"/>
  <c r="G633" i="11"/>
  <c r="C633" i="11"/>
  <c r="AA632" i="11"/>
  <c r="Z632" i="11"/>
  <c r="Y632" i="11"/>
  <c r="X632" i="11"/>
  <c r="H632" i="11"/>
  <c r="G632" i="11"/>
  <c r="C632" i="11"/>
  <c r="AA631" i="11"/>
  <c r="Z631" i="11"/>
  <c r="V631" i="11"/>
  <c r="N631" i="11"/>
  <c r="M631" i="11"/>
  <c r="L631" i="11"/>
  <c r="K631" i="11"/>
  <c r="J631" i="11"/>
  <c r="I631" i="11"/>
  <c r="H631" i="11"/>
  <c r="G631" i="11"/>
  <c r="F631" i="11"/>
  <c r="C631" i="11"/>
  <c r="AA630" i="11"/>
  <c r="Z630" i="11"/>
  <c r="Y630" i="11"/>
  <c r="V630" i="11"/>
  <c r="N630" i="11"/>
  <c r="M630" i="11"/>
  <c r="L630" i="11"/>
  <c r="K630" i="11"/>
  <c r="J630" i="11"/>
  <c r="H630" i="11"/>
  <c r="G630" i="11"/>
  <c r="C630" i="11"/>
  <c r="AA629" i="11"/>
  <c r="Z629" i="11"/>
  <c r="V629" i="11"/>
  <c r="C629" i="11"/>
  <c r="B629" i="11"/>
  <c r="C628" i="11"/>
  <c r="C627" i="11"/>
  <c r="C626" i="11"/>
  <c r="N618" i="11"/>
  <c r="M618" i="11"/>
  <c r="L618" i="11"/>
  <c r="K618" i="11"/>
  <c r="J618" i="11"/>
  <c r="I618" i="11"/>
  <c r="H618" i="11"/>
  <c r="G618" i="11"/>
  <c r="F618" i="11"/>
  <c r="C618" i="11"/>
  <c r="N617" i="11"/>
  <c r="M617" i="11"/>
  <c r="L617" i="11"/>
  <c r="K617" i="11"/>
  <c r="J617" i="11"/>
  <c r="I617" i="11"/>
  <c r="H617" i="11"/>
  <c r="G617" i="11"/>
  <c r="F617" i="11"/>
  <c r="C617" i="11"/>
  <c r="C616" i="11"/>
  <c r="C615" i="11"/>
  <c r="C614" i="11"/>
  <c r="C613" i="11"/>
  <c r="C612" i="11"/>
  <c r="C611" i="11"/>
  <c r="C610" i="11"/>
  <c r="N609" i="11"/>
  <c r="M609" i="11"/>
  <c r="L609" i="11"/>
  <c r="K609" i="11"/>
  <c r="J609" i="11"/>
  <c r="C609" i="11"/>
  <c r="M608" i="11"/>
  <c r="L608" i="11"/>
  <c r="K608" i="11"/>
  <c r="J608" i="11"/>
  <c r="H608" i="11"/>
  <c r="G608" i="11"/>
  <c r="F608" i="11"/>
  <c r="N607" i="11"/>
  <c r="M607" i="11"/>
  <c r="L607" i="11"/>
  <c r="K607" i="11"/>
  <c r="J607" i="11"/>
  <c r="I607" i="11"/>
  <c r="H607" i="11"/>
  <c r="G607" i="11"/>
  <c r="C607" i="11"/>
  <c r="N606" i="11"/>
  <c r="M606" i="11"/>
  <c r="L606" i="11"/>
  <c r="K606" i="11"/>
  <c r="J606" i="11"/>
  <c r="I606" i="11"/>
  <c r="H606" i="11"/>
  <c r="G606" i="11"/>
  <c r="C606" i="11"/>
  <c r="N605" i="11"/>
  <c r="M605" i="11"/>
  <c r="L605" i="11"/>
  <c r="K605" i="11"/>
  <c r="J605" i="11"/>
  <c r="I605" i="11"/>
  <c r="H605" i="11"/>
  <c r="G605" i="11"/>
  <c r="C605" i="11"/>
  <c r="N604" i="11"/>
  <c r="M604" i="11"/>
  <c r="L604" i="11"/>
  <c r="K604" i="11"/>
  <c r="J604" i="11"/>
  <c r="I604" i="11"/>
  <c r="H604" i="11"/>
  <c r="G604" i="11"/>
  <c r="C604" i="11"/>
  <c r="N603" i="11"/>
  <c r="M603" i="11"/>
  <c r="L603" i="11"/>
  <c r="K603" i="11"/>
  <c r="J603" i="11"/>
  <c r="I603" i="11"/>
  <c r="H603" i="11"/>
  <c r="G603" i="11"/>
  <c r="C603" i="11"/>
  <c r="N602" i="11"/>
  <c r="M602" i="11"/>
  <c r="L602" i="11"/>
  <c r="K602" i="11"/>
  <c r="J602" i="11"/>
  <c r="I602" i="11"/>
  <c r="H602" i="11"/>
  <c r="G602" i="11"/>
  <c r="C602" i="11"/>
  <c r="N601" i="11"/>
  <c r="M601" i="11"/>
  <c r="L601" i="11"/>
  <c r="K601" i="11"/>
  <c r="J601" i="11"/>
  <c r="C601" i="11"/>
  <c r="N600" i="11"/>
  <c r="M600" i="11"/>
  <c r="L600" i="11"/>
  <c r="K600" i="11"/>
  <c r="J600" i="11"/>
  <c r="C600" i="11"/>
  <c r="L599" i="11"/>
  <c r="K599" i="11"/>
  <c r="J599" i="11"/>
  <c r="H599" i="11"/>
  <c r="C599" i="11"/>
  <c r="V598" i="11"/>
  <c r="N598" i="11"/>
  <c r="L598" i="11"/>
  <c r="K598" i="11"/>
  <c r="J598" i="11"/>
  <c r="I598" i="11"/>
  <c r="H598" i="11"/>
  <c r="C598" i="11"/>
  <c r="V597" i="11"/>
  <c r="N597" i="11"/>
  <c r="M597" i="11"/>
  <c r="L597" i="11"/>
  <c r="K597" i="11"/>
  <c r="J597" i="11"/>
  <c r="I597" i="11"/>
  <c r="H597" i="11"/>
  <c r="G597" i="11"/>
  <c r="F597" i="11"/>
  <c r="C597" i="11"/>
  <c r="AA596" i="11"/>
  <c r="V596" i="11"/>
  <c r="N596" i="11"/>
  <c r="M596" i="11"/>
  <c r="L596" i="11"/>
  <c r="K596" i="11"/>
  <c r="J596" i="11"/>
  <c r="I596" i="11"/>
  <c r="H596" i="11"/>
  <c r="G596" i="11"/>
  <c r="F596" i="11"/>
  <c r="C596" i="11"/>
  <c r="AA595" i="11"/>
  <c r="V595" i="11"/>
  <c r="N595" i="11"/>
  <c r="M595" i="11"/>
  <c r="L595" i="11"/>
  <c r="K595" i="11"/>
  <c r="J595" i="11"/>
  <c r="I595" i="11"/>
  <c r="H595" i="11"/>
  <c r="G595" i="11"/>
  <c r="F595" i="11"/>
  <c r="C595" i="11"/>
  <c r="AA594" i="11"/>
  <c r="V594" i="11"/>
  <c r="N594" i="11"/>
  <c r="M594" i="11"/>
  <c r="L594" i="11"/>
  <c r="K594" i="11"/>
  <c r="J594" i="11"/>
  <c r="I594" i="11"/>
  <c r="H594" i="11"/>
  <c r="G594" i="11"/>
  <c r="F594" i="11"/>
  <c r="C594" i="11"/>
  <c r="AA593" i="11"/>
  <c r="V593" i="11"/>
  <c r="C593" i="11"/>
  <c r="B593" i="11"/>
  <c r="C592" i="11"/>
  <c r="C591" i="11"/>
  <c r="C590" i="11"/>
  <c r="N583" i="11"/>
  <c r="N582" i="11"/>
  <c r="M582" i="11"/>
  <c r="L582" i="11"/>
  <c r="K582" i="11"/>
  <c r="J582" i="11"/>
  <c r="I582" i="11"/>
  <c r="H582" i="11"/>
  <c r="G582" i="11"/>
  <c r="F582" i="11"/>
  <c r="C582" i="11"/>
  <c r="N581" i="11"/>
  <c r="M581" i="11"/>
  <c r="L581" i="11"/>
  <c r="K581" i="11"/>
  <c r="J581" i="11"/>
  <c r="I581" i="11"/>
  <c r="H581" i="11"/>
  <c r="G581" i="11"/>
  <c r="F581" i="11"/>
  <c r="C581" i="11"/>
  <c r="C580" i="11"/>
  <c r="C579" i="11"/>
  <c r="C578" i="11"/>
  <c r="C577" i="11"/>
  <c r="C576" i="11"/>
  <c r="C575" i="11"/>
  <c r="N574" i="11"/>
  <c r="M574" i="11"/>
  <c r="L574" i="11"/>
  <c r="K574" i="11"/>
  <c r="J574" i="11"/>
  <c r="H574" i="11"/>
  <c r="G574" i="11"/>
  <c r="C574" i="11"/>
  <c r="N573" i="11"/>
  <c r="M573" i="11"/>
  <c r="L573" i="11"/>
  <c r="K573" i="11"/>
  <c r="J573" i="11"/>
  <c r="H573" i="11"/>
  <c r="G573" i="11"/>
  <c r="C573" i="11"/>
  <c r="M572" i="11"/>
  <c r="L572" i="11"/>
  <c r="K572" i="11"/>
  <c r="J572" i="11"/>
  <c r="H572" i="11"/>
  <c r="G572" i="11"/>
  <c r="F572" i="11"/>
  <c r="N571" i="11"/>
  <c r="M571" i="11"/>
  <c r="L571" i="11"/>
  <c r="K571" i="11"/>
  <c r="J571" i="11"/>
  <c r="H571" i="11"/>
  <c r="G571" i="11"/>
  <c r="C571" i="11"/>
  <c r="N570" i="11"/>
  <c r="M570" i="11"/>
  <c r="L570" i="11"/>
  <c r="K570" i="11"/>
  <c r="J570" i="11"/>
  <c r="I570" i="11"/>
  <c r="H570" i="11"/>
  <c r="G570" i="11"/>
  <c r="C570" i="11"/>
  <c r="N569" i="11"/>
  <c r="M569" i="11"/>
  <c r="L569" i="11"/>
  <c r="K569" i="11"/>
  <c r="J569" i="11"/>
  <c r="I569" i="11"/>
  <c r="H569" i="11"/>
  <c r="G569" i="11"/>
  <c r="C569" i="11"/>
  <c r="N568" i="11"/>
  <c r="M568" i="11"/>
  <c r="L568" i="11"/>
  <c r="K568" i="11"/>
  <c r="J568" i="11"/>
  <c r="I568" i="11"/>
  <c r="H568" i="11"/>
  <c r="G568" i="11"/>
  <c r="C568" i="11"/>
  <c r="N567" i="11"/>
  <c r="M567" i="11"/>
  <c r="L567" i="11"/>
  <c r="K567" i="11"/>
  <c r="J567" i="11"/>
  <c r="I567" i="11"/>
  <c r="H567" i="11"/>
  <c r="G567" i="11"/>
  <c r="C567" i="11"/>
  <c r="N566" i="11"/>
  <c r="M566" i="11"/>
  <c r="L566" i="11"/>
  <c r="K566" i="11"/>
  <c r="J566" i="11"/>
  <c r="I566" i="11"/>
  <c r="H566" i="11"/>
  <c r="G566" i="11"/>
  <c r="C566" i="11"/>
  <c r="N565" i="11"/>
  <c r="M565" i="11"/>
  <c r="L565" i="11"/>
  <c r="K565" i="11"/>
  <c r="J565" i="11"/>
  <c r="C565" i="11"/>
  <c r="C564" i="11"/>
  <c r="N563" i="11"/>
  <c r="L563" i="11"/>
  <c r="K563" i="11"/>
  <c r="J563" i="11"/>
  <c r="H563" i="11"/>
  <c r="C563" i="11"/>
  <c r="N562" i="11"/>
  <c r="M562" i="11"/>
  <c r="L562" i="11"/>
  <c r="K562" i="11"/>
  <c r="J562" i="11"/>
  <c r="I562" i="11"/>
  <c r="H562" i="11"/>
  <c r="G562" i="11"/>
  <c r="F562" i="11"/>
  <c r="C562" i="11"/>
  <c r="N561" i="11"/>
  <c r="M561" i="11"/>
  <c r="L561" i="11"/>
  <c r="K561" i="11"/>
  <c r="J561" i="11"/>
  <c r="I561" i="11"/>
  <c r="H561" i="11"/>
  <c r="G561" i="11"/>
  <c r="F561" i="11"/>
  <c r="C561" i="11"/>
  <c r="AA560" i="11"/>
  <c r="V560" i="11"/>
  <c r="N560" i="11"/>
  <c r="M560" i="11"/>
  <c r="L560" i="11"/>
  <c r="K560" i="11"/>
  <c r="J560" i="11"/>
  <c r="I560" i="11"/>
  <c r="H560" i="11"/>
  <c r="G560" i="11"/>
  <c r="F560" i="11"/>
  <c r="C560" i="11"/>
  <c r="AA559" i="11"/>
  <c r="V559" i="11"/>
  <c r="N559" i="11"/>
  <c r="M559" i="11"/>
  <c r="L559" i="11"/>
  <c r="K559" i="11"/>
  <c r="J559" i="11"/>
  <c r="I559" i="11"/>
  <c r="H559" i="11"/>
  <c r="G559" i="11"/>
  <c r="F559" i="11"/>
  <c r="C559" i="11"/>
  <c r="AA558" i="11"/>
  <c r="V558" i="11"/>
  <c r="N558" i="11"/>
  <c r="M558" i="11"/>
  <c r="L558" i="11"/>
  <c r="K558" i="11"/>
  <c r="J558" i="11"/>
  <c r="I558" i="11"/>
  <c r="H558" i="11"/>
  <c r="G558" i="11"/>
  <c r="F558" i="11"/>
  <c r="C558" i="11"/>
  <c r="AA557" i="11"/>
  <c r="V557" i="11"/>
  <c r="C557" i="11"/>
  <c r="B557" i="11"/>
  <c r="C556" i="11"/>
  <c r="C555" i="11"/>
  <c r="C554" i="11"/>
  <c r="H547" i="11"/>
  <c r="N546" i="11"/>
  <c r="M546" i="11"/>
  <c r="L546" i="11"/>
  <c r="K546" i="11"/>
  <c r="J546" i="11"/>
  <c r="I546" i="11"/>
  <c r="H546" i="11"/>
  <c r="G546" i="11"/>
  <c r="F546" i="11"/>
  <c r="C546" i="11"/>
  <c r="N545" i="11"/>
  <c r="M545" i="11"/>
  <c r="L545" i="11"/>
  <c r="K545" i="11"/>
  <c r="J545" i="11"/>
  <c r="I545" i="11"/>
  <c r="H545" i="11"/>
  <c r="G545" i="11"/>
  <c r="F545" i="11"/>
  <c r="C545" i="11"/>
  <c r="C544" i="11"/>
  <c r="C543" i="11"/>
  <c r="C542" i="11"/>
  <c r="C541" i="11"/>
  <c r="F540" i="11"/>
  <c r="C540" i="11"/>
  <c r="C539" i="11"/>
  <c r="C538" i="11"/>
  <c r="C537" i="11"/>
  <c r="M536" i="11"/>
  <c r="L536" i="11"/>
  <c r="L547" i="11" s="1"/>
  <c r="K536" i="11"/>
  <c r="J536" i="11"/>
  <c r="H536" i="11"/>
  <c r="G536" i="11"/>
  <c r="F536" i="11"/>
  <c r="N535" i="11"/>
  <c r="M535" i="11"/>
  <c r="L535" i="11"/>
  <c r="K535" i="11"/>
  <c r="J535" i="11"/>
  <c r="I535" i="11"/>
  <c r="H535" i="11"/>
  <c r="G535" i="11"/>
  <c r="C535" i="11"/>
  <c r="N534" i="11"/>
  <c r="M534" i="11"/>
  <c r="L534" i="11"/>
  <c r="K534" i="11"/>
  <c r="J534" i="11"/>
  <c r="I534" i="11"/>
  <c r="H534" i="11"/>
  <c r="G534" i="11"/>
  <c r="C534" i="11"/>
  <c r="N533" i="11"/>
  <c r="M533" i="11"/>
  <c r="L533" i="11"/>
  <c r="K533" i="11"/>
  <c r="J533" i="11"/>
  <c r="I533" i="11"/>
  <c r="H533" i="11"/>
  <c r="G533" i="11"/>
  <c r="C533" i="11"/>
  <c r="N532" i="11"/>
  <c r="M532" i="11"/>
  <c r="L532" i="11"/>
  <c r="K532" i="11"/>
  <c r="J532" i="11"/>
  <c r="I532" i="11"/>
  <c r="H532" i="11"/>
  <c r="G532" i="11"/>
  <c r="C532" i="11"/>
  <c r="N531" i="11"/>
  <c r="M531" i="11"/>
  <c r="L531" i="11"/>
  <c r="K531" i="11"/>
  <c r="J531" i="11"/>
  <c r="I531" i="11"/>
  <c r="H531" i="11"/>
  <c r="G531" i="11"/>
  <c r="C531" i="11"/>
  <c r="N530" i="11"/>
  <c r="M530" i="11"/>
  <c r="L530" i="11"/>
  <c r="K530" i="11"/>
  <c r="J530" i="11"/>
  <c r="I530" i="11"/>
  <c r="H530" i="11"/>
  <c r="G530" i="11"/>
  <c r="C530" i="11"/>
  <c r="N529" i="11"/>
  <c r="M529" i="11"/>
  <c r="L529" i="11"/>
  <c r="K529" i="11"/>
  <c r="J529" i="11"/>
  <c r="C529" i="11"/>
  <c r="C528" i="11"/>
  <c r="L527" i="11"/>
  <c r="K527" i="11"/>
  <c r="J527" i="11"/>
  <c r="H527" i="11"/>
  <c r="C527" i="11"/>
  <c r="N526" i="11"/>
  <c r="M526" i="11"/>
  <c r="L526" i="11"/>
  <c r="K526" i="11"/>
  <c r="J526" i="11"/>
  <c r="I526" i="11"/>
  <c r="H526" i="11"/>
  <c r="G526" i="11"/>
  <c r="F526" i="11"/>
  <c r="C526" i="11"/>
  <c r="N525" i="11"/>
  <c r="M525" i="11"/>
  <c r="L525" i="11"/>
  <c r="K525" i="11"/>
  <c r="J525" i="11"/>
  <c r="I525" i="11"/>
  <c r="H525" i="11"/>
  <c r="G525" i="11"/>
  <c r="F525" i="11"/>
  <c r="C525" i="11"/>
  <c r="V524" i="11"/>
  <c r="N524" i="11"/>
  <c r="M524" i="11"/>
  <c r="L524" i="11"/>
  <c r="K524" i="11"/>
  <c r="J524" i="11"/>
  <c r="I524" i="11"/>
  <c r="H524" i="11"/>
  <c r="G524" i="11"/>
  <c r="F524" i="11"/>
  <c r="C524" i="11"/>
  <c r="AA523" i="11"/>
  <c r="Z523" i="11"/>
  <c r="V523" i="11"/>
  <c r="N523" i="11"/>
  <c r="M523" i="11"/>
  <c r="L523" i="11"/>
  <c r="K523" i="11"/>
  <c r="J523" i="11"/>
  <c r="I523" i="11"/>
  <c r="H523" i="11"/>
  <c r="G523" i="11"/>
  <c r="F523" i="11"/>
  <c r="C523" i="11"/>
  <c r="AA522" i="11"/>
  <c r="Z522" i="11"/>
  <c r="V522" i="11"/>
  <c r="N522" i="11"/>
  <c r="M522" i="11"/>
  <c r="L522" i="11"/>
  <c r="K522" i="11"/>
  <c r="J522" i="11"/>
  <c r="I522" i="11"/>
  <c r="H522" i="11"/>
  <c r="G522" i="11"/>
  <c r="F522" i="11"/>
  <c r="C522" i="11"/>
  <c r="AA521" i="11"/>
  <c r="Z521" i="11"/>
  <c r="V521" i="11"/>
  <c r="C521" i="11"/>
  <c r="B521" i="11"/>
  <c r="C520" i="11"/>
  <c r="C519" i="11"/>
  <c r="C518" i="11"/>
  <c r="N510" i="11"/>
  <c r="M510" i="11"/>
  <c r="L510" i="11"/>
  <c r="K510" i="11"/>
  <c r="J510" i="11"/>
  <c r="I510" i="11"/>
  <c r="H510" i="11"/>
  <c r="G510" i="11"/>
  <c r="F510" i="11"/>
  <c r="C510" i="11"/>
  <c r="N509" i="11"/>
  <c r="M509" i="11"/>
  <c r="L509" i="11"/>
  <c r="K509" i="11"/>
  <c r="J509" i="11"/>
  <c r="I509" i="11"/>
  <c r="H509" i="11"/>
  <c r="G509" i="11"/>
  <c r="F509" i="11"/>
  <c r="C509" i="11"/>
  <c r="C508" i="11"/>
  <c r="C507" i="11"/>
  <c r="N506" i="11"/>
  <c r="L506" i="11"/>
  <c r="K506" i="11"/>
  <c r="J506" i="11"/>
  <c r="I506" i="11"/>
  <c r="H506" i="11"/>
  <c r="C506" i="11"/>
  <c r="N505" i="11"/>
  <c r="M505" i="11"/>
  <c r="L505" i="11"/>
  <c r="K505" i="11"/>
  <c r="J505" i="11"/>
  <c r="H505" i="11"/>
  <c r="G505" i="11"/>
  <c r="C505" i="11"/>
  <c r="C504" i="11"/>
  <c r="C503" i="11"/>
  <c r="C502" i="11"/>
  <c r="C501" i="11"/>
  <c r="M500" i="11"/>
  <c r="L500" i="11"/>
  <c r="K500" i="11"/>
  <c r="J500" i="11"/>
  <c r="I500" i="11"/>
  <c r="H500" i="11"/>
  <c r="G500" i="11"/>
  <c r="G511" i="11" s="1"/>
  <c r="F500" i="11"/>
  <c r="C500" i="11"/>
  <c r="N499" i="11"/>
  <c r="M499" i="11"/>
  <c r="L499" i="11"/>
  <c r="K499" i="11"/>
  <c r="J499" i="11"/>
  <c r="I499" i="11"/>
  <c r="H499" i="11"/>
  <c r="G499" i="11"/>
  <c r="C499" i="11"/>
  <c r="AI498" i="11"/>
  <c r="AH498" i="11"/>
  <c r="AG498" i="11"/>
  <c r="AF498" i="11"/>
  <c r="AE498" i="11"/>
  <c r="AD498" i="11"/>
  <c r="AC498" i="11"/>
  <c r="AB498" i="11"/>
  <c r="N498" i="11"/>
  <c r="M498" i="11"/>
  <c r="L498" i="11"/>
  <c r="K498" i="11"/>
  <c r="J498" i="11"/>
  <c r="I498" i="11"/>
  <c r="H498" i="11"/>
  <c r="G498" i="11"/>
  <c r="C498" i="11"/>
  <c r="AI497" i="11"/>
  <c r="AH497" i="11"/>
  <c r="AG497" i="11"/>
  <c r="AF497" i="11"/>
  <c r="AE497" i="11"/>
  <c r="AD497" i="11"/>
  <c r="AC497" i="11"/>
  <c r="AB497" i="11"/>
  <c r="N497" i="11"/>
  <c r="M497" i="11"/>
  <c r="L497" i="11"/>
  <c r="K497" i="11"/>
  <c r="J497" i="11"/>
  <c r="I497" i="11"/>
  <c r="H497" i="11"/>
  <c r="G497" i="11"/>
  <c r="C497" i="11"/>
  <c r="AI496" i="11"/>
  <c r="AH496" i="11"/>
  <c r="AG496" i="11"/>
  <c r="AF496" i="11"/>
  <c r="AE496" i="11"/>
  <c r="AD496" i="11"/>
  <c r="AC496" i="11"/>
  <c r="AB496" i="11"/>
  <c r="N496" i="11"/>
  <c r="M496" i="11"/>
  <c r="L496" i="11"/>
  <c r="K496" i="11"/>
  <c r="J496" i="11"/>
  <c r="I496" i="11"/>
  <c r="H496" i="11"/>
  <c r="G496" i="11"/>
  <c r="C496" i="11"/>
  <c r="AI495" i="11"/>
  <c r="AH495" i="11"/>
  <c r="AG495" i="11"/>
  <c r="AF495" i="11"/>
  <c r="AE495" i="11"/>
  <c r="AD495" i="11"/>
  <c r="AC495" i="11"/>
  <c r="AB495" i="11"/>
  <c r="N495" i="11"/>
  <c r="M495" i="11"/>
  <c r="L495" i="11"/>
  <c r="K495" i="11"/>
  <c r="J495" i="11"/>
  <c r="I495" i="11"/>
  <c r="H495" i="11"/>
  <c r="G495" i="11"/>
  <c r="C495" i="11"/>
  <c r="AI494" i="11"/>
  <c r="AH494" i="11"/>
  <c r="AG494" i="11"/>
  <c r="AF494" i="11"/>
  <c r="AE494" i="11"/>
  <c r="AD494" i="11"/>
  <c r="AC494" i="11"/>
  <c r="AB494" i="11"/>
  <c r="N494" i="11"/>
  <c r="M494" i="11"/>
  <c r="L494" i="11"/>
  <c r="K494" i="11"/>
  <c r="J494" i="11"/>
  <c r="I494" i="11"/>
  <c r="H494" i="11"/>
  <c r="G494" i="11"/>
  <c r="C494" i="11"/>
  <c r="N493" i="11"/>
  <c r="M493" i="11"/>
  <c r="L493" i="11"/>
  <c r="K493" i="11"/>
  <c r="J493" i="11"/>
  <c r="I493" i="11"/>
  <c r="H493" i="11"/>
  <c r="G493" i="11"/>
  <c r="C493" i="11"/>
  <c r="AI492" i="11"/>
  <c r="AG492" i="11"/>
  <c r="AF492" i="11"/>
  <c r="AE492" i="11"/>
  <c r="AD492" i="11"/>
  <c r="AC492" i="11"/>
  <c r="AB492" i="11"/>
  <c r="N492" i="11"/>
  <c r="L492" i="11"/>
  <c r="K492" i="11"/>
  <c r="J492" i="11"/>
  <c r="I492" i="11"/>
  <c r="H492" i="11"/>
  <c r="C492" i="11"/>
  <c r="L491" i="11"/>
  <c r="K491" i="11"/>
  <c r="J491" i="11"/>
  <c r="I491" i="11"/>
  <c r="H491" i="11"/>
  <c r="G491" i="11"/>
  <c r="C491" i="11"/>
  <c r="AI490" i="11"/>
  <c r="AG490" i="11"/>
  <c r="AF490" i="11"/>
  <c r="AE490" i="11"/>
  <c r="AD490" i="11"/>
  <c r="AC490" i="11"/>
  <c r="N490" i="11"/>
  <c r="L490" i="11"/>
  <c r="K490" i="11"/>
  <c r="J490" i="11"/>
  <c r="I490" i="11"/>
  <c r="H490" i="11"/>
  <c r="C490" i="11"/>
  <c r="V489" i="11"/>
  <c r="N489" i="11"/>
  <c r="M489" i="11"/>
  <c r="L489" i="11"/>
  <c r="K489" i="11"/>
  <c r="J489" i="11"/>
  <c r="I489" i="11"/>
  <c r="H489" i="11"/>
  <c r="G489" i="11"/>
  <c r="F489" i="11"/>
  <c r="C489" i="11"/>
  <c r="V488" i="11"/>
  <c r="N488" i="11"/>
  <c r="M488" i="11"/>
  <c r="L488" i="11"/>
  <c r="K488" i="11"/>
  <c r="J488" i="11"/>
  <c r="I488" i="11"/>
  <c r="H488" i="11"/>
  <c r="G488" i="11"/>
  <c r="F488" i="11"/>
  <c r="C488" i="11"/>
  <c r="AA487" i="11"/>
  <c r="V487" i="11"/>
  <c r="N487" i="11"/>
  <c r="M487" i="11"/>
  <c r="L487" i="11"/>
  <c r="K487" i="11"/>
  <c r="J487" i="11"/>
  <c r="I487" i="11"/>
  <c r="H487" i="11"/>
  <c r="G487" i="11"/>
  <c r="F487" i="11"/>
  <c r="C487" i="11"/>
  <c r="AA486" i="11"/>
  <c r="V486" i="11"/>
  <c r="N486" i="11"/>
  <c r="M486" i="11"/>
  <c r="L486" i="11"/>
  <c r="K486" i="11"/>
  <c r="J486" i="11"/>
  <c r="I486" i="11"/>
  <c r="H486" i="11"/>
  <c r="G486" i="11"/>
  <c r="F486" i="11"/>
  <c r="C486" i="11"/>
  <c r="AA485" i="11"/>
  <c r="V485" i="11"/>
  <c r="C485" i="11"/>
  <c r="B485" i="11"/>
  <c r="C484" i="11"/>
  <c r="C483" i="11"/>
  <c r="C482" i="11"/>
  <c r="N474" i="11"/>
  <c r="M474" i="11"/>
  <c r="L474" i="11"/>
  <c r="K474" i="11"/>
  <c r="J474" i="11"/>
  <c r="I474" i="11"/>
  <c r="H474" i="11"/>
  <c r="G474" i="11"/>
  <c r="F474" i="11"/>
  <c r="C474" i="11"/>
  <c r="N473" i="11"/>
  <c r="M473" i="11"/>
  <c r="L473" i="11"/>
  <c r="K473" i="11"/>
  <c r="J473" i="11"/>
  <c r="I473" i="11"/>
  <c r="H473" i="11"/>
  <c r="G473" i="11"/>
  <c r="F473" i="11"/>
  <c r="C473" i="11"/>
  <c r="C472" i="11"/>
  <c r="C471" i="11"/>
  <c r="C470" i="11"/>
  <c r="C469" i="11"/>
  <c r="C468" i="11"/>
  <c r="C467" i="11"/>
  <c r="C466" i="11"/>
  <c r="C465" i="11"/>
  <c r="M464" i="11"/>
  <c r="M475" i="11" s="1"/>
  <c r="L464" i="11"/>
  <c r="K464" i="11"/>
  <c r="J464" i="11"/>
  <c r="H464" i="11"/>
  <c r="G464" i="11"/>
  <c r="F464" i="11"/>
  <c r="M463" i="11"/>
  <c r="L463" i="11"/>
  <c r="K463" i="11"/>
  <c r="J463" i="11"/>
  <c r="H463" i="11"/>
  <c r="G463" i="11"/>
  <c r="C463" i="11"/>
  <c r="N462" i="11"/>
  <c r="M462" i="11"/>
  <c r="L462" i="11"/>
  <c r="K462" i="11"/>
  <c r="J462" i="11"/>
  <c r="I462" i="11"/>
  <c r="H462" i="11"/>
  <c r="G462" i="11"/>
  <c r="C462" i="11"/>
  <c r="W461" i="11"/>
  <c r="V461" i="11"/>
  <c r="U461" i="11"/>
  <c r="T461" i="11"/>
  <c r="N461" i="11"/>
  <c r="M461" i="11"/>
  <c r="L461" i="11"/>
  <c r="K461" i="11"/>
  <c r="J461" i="11"/>
  <c r="I461" i="11"/>
  <c r="H461" i="11"/>
  <c r="G461" i="11"/>
  <c r="C461" i="11"/>
  <c r="T460" i="11"/>
  <c r="N460" i="11"/>
  <c r="M460" i="11"/>
  <c r="L460" i="11"/>
  <c r="K460" i="11"/>
  <c r="J460" i="11"/>
  <c r="I460" i="11"/>
  <c r="H460" i="11"/>
  <c r="G460" i="11"/>
  <c r="C460" i="11"/>
  <c r="U459" i="11"/>
  <c r="T459" i="11"/>
  <c r="N459" i="11"/>
  <c r="M459" i="11"/>
  <c r="L459" i="11"/>
  <c r="K459" i="11"/>
  <c r="J459" i="11"/>
  <c r="I459" i="11"/>
  <c r="H459" i="11"/>
  <c r="G459" i="11"/>
  <c r="C459" i="11"/>
  <c r="T458" i="11"/>
  <c r="N458" i="11"/>
  <c r="M458" i="11"/>
  <c r="L458" i="11"/>
  <c r="K458" i="11"/>
  <c r="J458" i="11"/>
  <c r="I458" i="11"/>
  <c r="H458" i="11"/>
  <c r="G458" i="11"/>
  <c r="C458" i="11"/>
  <c r="N457" i="11"/>
  <c r="M457" i="11"/>
  <c r="L457" i="11"/>
  <c r="K457" i="11"/>
  <c r="J457" i="11"/>
  <c r="C457" i="11"/>
  <c r="C456" i="11"/>
  <c r="L455" i="11"/>
  <c r="K455" i="11"/>
  <c r="J455" i="11"/>
  <c r="I455" i="11"/>
  <c r="H455" i="11"/>
  <c r="C455" i="11"/>
  <c r="N454" i="11"/>
  <c r="M454" i="11"/>
  <c r="L454" i="11"/>
  <c r="K454" i="11"/>
  <c r="J454" i="11"/>
  <c r="I454" i="11"/>
  <c r="H454" i="11"/>
  <c r="G454" i="11"/>
  <c r="F454" i="11"/>
  <c r="C454" i="11"/>
  <c r="V453" i="11"/>
  <c r="U453" i="11"/>
  <c r="T453" i="11"/>
  <c r="S453" i="11"/>
  <c r="N453" i="11"/>
  <c r="M453" i="11"/>
  <c r="L453" i="11"/>
  <c r="K453" i="11"/>
  <c r="J453" i="11"/>
  <c r="I453" i="11"/>
  <c r="H453" i="11"/>
  <c r="G453" i="11"/>
  <c r="F453" i="11"/>
  <c r="C453" i="11"/>
  <c r="AA452" i="11"/>
  <c r="Z452" i="11"/>
  <c r="Y452" i="11"/>
  <c r="X452" i="11"/>
  <c r="V452" i="11"/>
  <c r="U452" i="11"/>
  <c r="T452" i="11"/>
  <c r="S452" i="11"/>
  <c r="N452" i="11"/>
  <c r="M452" i="11"/>
  <c r="L452" i="11"/>
  <c r="K452" i="11"/>
  <c r="J452" i="11"/>
  <c r="I452" i="11"/>
  <c r="H452" i="11"/>
  <c r="G452" i="11"/>
  <c r="F452" i="11"/>
  <c r="C452" i="11"/>
  <c r="AA451" i="11"/>
  <c r="Z451" i="11"/>
  <c r="Y451" i="11"/>
  <c r="X451" i="11"/>
  <c r="V451" i="11"/>
  <c r="U451" i="11"/>
  <c r="T451" i="11"/>
  <c r="S451" i="11"/>
  <c r="N451" i="11"/>
  <c r="M451" i="11"/>
  <c r="L451" i="11"/>
  <c r="K451" i="11"/>
  <c r="J451" i="11"/>
  <c r="I451" i="11"/>
  <c r="H451" i="11"/>
  <c r="G451" i="11"/>
  <c r="F451" i="11"/>
  <c r="C451" i="11"/>
  <c r="AA450" i="11"/>
  <c r="Z450" i="11"/>
  <c r="Y450" i="11"/>
  <c r="X450" i="11"/>
  <c r="V450" i="11"/>
  <c r="U450" i="11"/>
  <c r="T450" i="11"/>
  <c r="S450" i="11"/>
  <c r="N450" i="11"/>
  <c r="M450" i="11"/>
  <c r="L450" i="11"/>
  <c r="K450" i="11"/>
  <c r="J450" i="11"/>
  <c r="I450" i="11"/>
  <c r="H450" i="11"/>
  <c r="G450" i="11"/>
  <c r="F450" i="11"/>
  <c r="C450" i="11"/>
  <c r="AA449" i="11"/>
  <c r="Z449" i="11"/>
  <c r="Y449" i="11"/>
  <c r="X449" i="11"/>
  <c r="V449" i="11"/>
  <c r="U449" i="11"/>
  <c r="T449" i="11"/>
  <c r="S449" i="11"/>
  <c r="C449" i="11"/>
  <c r="B449" i="11"/>
  <c r="C448" i="11"/>
  <c r="C447" i="11"/>
  <c r="C446" i="11"/>
  <c r="N438" i="11"/>
  <c r="M438" i="11"/>
  <c r="L438" i="11"/>
  <c r="K438" i="11"/>
  <c r="J438" i="11"/>
  <c r="I438" i="11"/>
  <c r="H438" i="11"/>
  <c r="G438" i="11"/>
  <c r="F438" i="11"/>
  <c r="C438" i="11"/>
  <c r="N437" i="11"/>
  <c r="M437" i="11"/>
  <c r="L437" i="11"/>
  <c r="K437" i="11"/>
  <c r="J437" i="11"/>
  <c r="I437" i="11"/>
  <c r="H437" i="11"/>
  <c r="G437" i="11"/>
  <c r="F437" i="11"/>
  <c r="C437" i="11"/>
  <c r="C436" i="11"/>
  <c r="C435" i="11"/>
  <c r="C432" i="11"/>
  <c r="C431" i="11"/>
  <c r="C430" i="11"/>
  <c r="C429" i="11"/>
  <c r="M428" i="11"/>
  <c r="L428" i="11"/>
  <c r="K428" i="11"/>
  <c r="J428" i="11"/>
  <c r="H428" i="11"/>
  <c r="G428" i="11"/>
  <c r="F428" i="11"/>
  <c r="M427" i="11"/>
  <c r="L427" i="11"/>
  <c r="K427" i="11"/>
  <c r="J427" i="11"/>
  <c r="I427" i="11"/>
  <c r="H427" i="11"/>
  <c r="G427" i="11"/>
  <c r="C427" i="11"/>
  <c r="N426" i="11"/>
  <c r="M426" i="11"/>
  <c r="L426" i="11"/>
  <c r="K426" i="11"/>
  <c r="J426" i="11"/>
  <c r="I426" i="11"/>
  <c r="H426" i="11"/>
  <c r="G426" i="11"/>
  <c r="C426" i="11"/>
  <c r="N425" i="11"/>
  <c r="M425" i="11"/>
  <c r="L425" i="11"/>
  <c r="K425" i="11"/>
  <c r="J425" i="11"/>
  <c r="I425" i="11"/>
  <c r="H425" i="11"/>
  <c r="G425" i="11"/>
  <c r="C425" i="11"/>
  <c r="N424" i="11"/>
  <c r="M424" i="11"/>
  <c r="L424" i="11"/>
  <c r="K424" i="11"/>
  <c r="J424" i="11"/>
  <c r="I424" i="11"/>
  <c r="H424" i="11"/>
  <c r="G424" i="11"/>
  <c r="C424" i="11"/>
  <c r="N423" i="11"/>
  <c r="M423" i="11"/>
  <c r="L423" i="11"/>
  <c r="K423" i="11"/>
  <c r="J423" i="11"/>
  <c r="I423" i="11"/>
  <c r="H423" i="11"/>
  <c r="G423" i="11"/>
  <c r="C423" i="11"/>
  <c r="N422" i="11"/>
  <c r="M422" i="11"/>
  <c r="L422" i="11"/>
  <c r="K422" i="11"/>
  <c r="J422" i="11"/>
  <c r="I422" i="11"/>
  <c r="H422" i="11"/>
  <c r="G422" i="11"/>
  <c r="C422" i="11"/>
  <c r="N421" i="11"/>
  <c r="M421" i="11"/>
  <c r="L421" i="11"/>
  <c r="K421" i="11"/>
  <c r="J421" i="11"/>
  <c r="C421" i="11"/>
  <c r="C420" i="11"/>
  <c r="M419" i="11"/>
  <c r="L419" i="11"/>
  <c r="K419" i="11"/>
  <c r="J419" i="11"/>
  <c r="H419" i="11"/>
  <c r="C419" i="11"/>
  <c r="N418" i="11"/>
  <c r="M418" i="11"/>
  <c r="L418" i="11"/>
  <c r="K418" i="11"/>
  <c r="J418" i="11"/>
  <c r="I418" i="11"/>
  <c r="H418" i="11"/>
  <c r="G418" i="11"/>
  <c r="F418" i="11"/>
  <c r="C418" i="11"/>
  <c r="V417" i="11"/>
  <c r="N417" i="11"/>
  <c r="M417" i="11"/>
  <c r="L417" i="11"/>
  <c r="K417" i="11"/>
  <c r="J417" i="11"/>
  <c r="I417" i="11"/>
  <c r="H417" i="11"/>
  <c r="G417" i="11"/>
  <c r="F417" i="11"/>
  <c r="C417" i="11"/>
  <c r="AA416" i="11"/>
  <c r="V416" i="11"/>
  <c r="N416" i="11"/>
  <c r="M416" i="11"/>
  <c r="L416" i="11"/>
  <c r="K416" i="11"/>
  <c r="J416" i="11"/>
  <c r="I416" i="11"/>
  <c r="H416" i="11"/>
  <c r="G416" i="11"/>
  <c r="F416" i="11"/>
  <c r="C416" i="11"/>
  <c r="AA415" i="11"/>
  <c r="V415" i="11"/>
  <c r="N415" i="11"/>
  <c r="M415" i="11"/>
  <c r="L415" i="11"/>
  <c r="K415" i="11"/>
  <c r="J415" i="11"/>
  <c r="I415" i="11"/>
  <c r="H415" i="11"/>
  <c r="G415" i="11"/>
  <c r="F415" i="11"/>
  <c r="C415" i="11"/>
  <c r="AA414" i="11"/>
  <c r="V414" i="11"/>
  <c r="N414" i="11"/>
  <c r="M414" i="11"/>
  <c r="L414" i="11"/>
  <c r="K414" i="11"/>
  <c r="J414" i="11"/>
  <c r="I414" i="11"/>
  <c r="H414" i="11"/>
  <c r="G414" i="11"/>
  <c r="F414" i="11"/>
  <c r="C414" i="11"/>
  <c r="AA413" i="11"/>
  <c r="V413" i="11"/>
  <c r="C413" i="11"/>
  <c r="B413" i="11"/>
  <c r="C412" i="11"/>
  <c r="C411" i="11"/>
  <c r="C410" i="11"/>
  <c r="G403" i="11"/>
  <c r="N402" i="11"/>
  <c r="M402" i="11"/>
  <c r="L402" i="11"/>
  <c r="K402" i="11"/>
  <c r="J402" i="11"/>
  <c r="I402" i="11"/>
  <c r="H402" i="11"/>
  <c r="G402" i="11"/>
  <c r="F402" i="11"/>
  <c r="C402" i="11"/>
  <c r="N401" i="11"/>
  <c r="M401" i="11"/>
  <c r="L401" i="11"/>
  <c r="K401" i="11"/>
  <c r="J401" i="11"/>
  <c r="I401" i="11"/>
  <c r="H401" i="11"/>
  <c r="G401" i="11"/>
  <c r="F401" i="11"/>
  <c r="C401" i="11"/>
  <c r="C400" i="11"/>
  <c r="C399" i="11"/>
  <c r="C398" i="11"/>
  <c r="C397" i="11"/>
  <c r="C396" i="11"/>
  <c r="C395" i="11"/>
  <c r="C394" i="11"/>
  <c r="C393" i="11"/>
  <c r="M392" i="11"/>
  <c r="L392" i="11"/>
  <c r="K392" i="11"/>
  <c r="J392" i="11"/>
  <c r="H392" i="11"/>
  <c r="G392" i="11"/>
  <c r="F392" i="11"/>
  <c r="M391" i="11"/>
  <c r="L391" i="11"/>
  <c r="K391" i="11"/>
  <c r="J391" i="11"/>
  <c r="I391" i="11"/>
  <c r="H391" i="11"/>
  <c r="G391" i="11"/>
  <c r="C391" i="11"/>
  <c r="N390" i="11"/>
  <c r="M390" i="11"/>
  <c r="L390" i="11"/>
  <c r="K390" i="11"/>
  <c r="J390" i="11"/>
  <c r="I390" i="11"/>
  <c r="H390" i="11"/>
  <c r="G390" i="11"/>
  <c r="C390" i="11"/>
  <c r="N389" i="11"/>
  <c r="M389" i="11"/>
  <c r="L389" i="11"/>
  <c r="K389" i="11"/>
  <c r="J389" i="11"/>
  <c r="I389" i="11"/>
  <c r="H389" i="11"/>
  <c r="G389" i="11"/>
  <c r="C389" i="11"/>
  <c r="N388" i="11"/>
  <c r="M388" i="11"/>
  <c r="L388" i="11"/>
  <c r="K388" i="11"/>
  <c r="J388" i="11"/>
  <c r="I388" i="11"/>
  <c r="H388" i="11"/>
  <c r="G388" i="11"/>
  <c r="C388" i="11"/>
  <c r="N387" i="11"/>
  <c r="M387" i="11"/>
  <c r="L387" i="11"/>
  <c r="K387" i="11"/>
  <c r="J387" i="11"/>
  <c r="I387" i="11"/>
  <c r="H387" i="11"/>
  <c r="G387" i="11"/>
  <c r="C387" i="11"/>
  <c r="N386" i="11"/>
  <c r="M386" i="11"/>
  <c r="L386" i="11"/>
  <c r="K386" i="11"/>
  <c r="J386" i="11"/>
  <c r="I386" i="11"/>
  <c r="H386" i="11"/>
  <c r="G386" i="11"/>
  <c r="C386" i="11"/>
  <c r="N385" i="11"/>
  <c r="M385" i="11"/>
  <c r="L385" i="11"/>
  <c r="K385" i="11"/>
  <c r="J385" i="11"/>
  <c r="C385" i="11"/>
  <c r="C384" i="11"/>
  <c r="L383" i="11"/>
  <c r="K383" i="11"/>
  <c r="J383" i="11"/>
  <c r="I383" i="11"/>
  <c r="H383" i="11"/>
  <c r="G383" i="11"/>
  <c r="C383" i="11"/>
  <c r="N382" i="11"/>
  <c r="M382" i="11"/>
  <c r="L382" i="11"/>
  <c r="K382" i="11"/>
  <c r="J382" i="11"/>
  <c r="I382" i="11"/>
  <c r="H382" i="11"/>
  <c r="G382" i="11"/>
  <c r="F382" i="11"/>
  <c r="C382" i="11"/>
  <c r="AA381" i="11"/>
  <c r="Z381" i="11"/>
  <c r="V381" i="11"/>
  <c r="N381" i="11"/>
  <c r="M381" i="11"/>
  <c r="L381" i="11"/>
  <c r="K381" i="11"/>
  <c r="J381" i="11"/>
  <c r="I381" i="11"/>
  <c r="H381" i="11"/>
  <c r="G381" i="11"/>
  <c r="F381" i="11"/>
  <c r="C381" i="11"/>
  <c r="AA380" i="11"/>
  <c r="Z380" i="11"/>
  <c r="V380" i="11"/>
  <c r="N380" i="11"/>
  <c r="M380" i="11"/>
  <c r="L380" i="11"/>
  <c r="K380" i="11"/>
  <c r="J380" i="11"/>
  <c r="I380" i="11"/>
  <c r="H380" i="11"/>
  <c r="G380" i="11"/>
  <c r="F380" i="11"/>
  <c r="C380" i="11"/>
  <c r="AA379" i="11"/>
  <c r="Z379" i="11"/>
  <c r="V379" i="11"/>
  <c r="N379" i="11"/>
  <c r="M379" i="11"/>
  <c r="L379" i="11"/>
  <c r="K379" i="11"/>
  <c r="J379" i="11"/>
  <c r="I379" i="11"/>
  <c r="H379" i="11"/>
  <c r="G379" i="11"/>
  <c r="F379" i="11"/>
  <c r="C379" i="11"/>
  <c r="AA378" i="11"/>
  <c r="Z378" i="11"/>
  <c r="V378" i="11"/>
  <c r="N378" i="11"/>
  <c r="M378" i="11"/>
  <c r="L378" i="11"/>
  <c r="K378" i="11"/>
  <c r="J378" i="11"/>
  <c r="I378" i="11"/>
  <c r="H378" i="11"/>
  <c r="G378" i="11"/>
  <c r="F378" i="11"/>
  <c r="C378" i="11"/>
  <c r="C377" i="11"/>
  <c r="B377" i="11"/>
  <c r="C376" i="11"/>
  <c r="C375" i="11"/>
  <c r="C374" i="11"/>
  <c r="N366" i="11"/>
  <c r="M366" i="11"/>
  <c r="L366" i="11"/>
  <c r="K366" i="11"/>
  <c r="J366" i="11"/>
  <c r="I366" i="11"/>
  <c r="H366" i="11"/>
  <c r="G366" i="11"/>
  <c r="F366" i="11"/>
  <c r="C366" i="11"/>
  <c r="N365" i="11"/>
  <c r="M365" i="11"/>
  <c r="L365" i="11"/>
  <c r="K365" i="11"/>
  <c r="J365" i="11"/>
  <c r="I365" i="11"/>
  <c r="H365" i="11"/>
  <c r="G365" i="11"/>
  <c r="F365" i="11"/>
  <c r="C365" i="11"/>
  <c r="C364" i="11"/>
  <c r="C363" i="11"/>
  <c r="C362" i="11"/>
  <c r="N361" i="11"/>
  <c r="M361" i="11"/>
  <c r="L361" i="11"/>
  <c r="K361" i="11"/>
  <c r="J361" i="11"/>
  <c r="I361" i="11"/>
  <c r="H361" i="11"/>
  <c r="G361" i="11"/>
  <c r="C361" i="11"/>
  <c r="F360" i="11"/>
  <c r="C360" i="11"/>
  <c r="C359" i="11"/>
  <c r="C358" i="11"/>
  <c r="C357" i="11"/>
  <c r="M356" i="11"/>
  <c r="L356" i="11"/>
  <c r="L367" i="11" s="1"/>
  <c r="K356" i="11"/>
  <c r="J356" i="11"/>
  <c r="H356" i="11"/>
  <c r="H367" i="11" s="1"/>
  <c r="G356" i="11"/>
  <c r="F356" i="11"/>
  <c r="M355" i="11"/>
  <c r="L355" i="11"/>
  <c r="K355" i="11"/>
  <c r="J355" i="11"/>
  <c r="C355" i="11"/>
  <c r="N354" i="11"/>
  <c r="M354" i="11"/>
  <c r="L354" i="11"/>
  <c r="K354" i="11"/>
  <c r="J354" i="11"/>
  <c r="I354" i="11"/>
  <c r="H354" i="11"/>
  <c r="G354" i="11"/>
  <c r="C354" i="11"/>
  <c r="N353" i="11"/>
  <c r="M353" i="11"/>
  <c r="L353" i="11"/>
  <c r="K353" i="11"/>
  <c r="J353" i="11"/>
  <c r="I353" i="11"/>
  <c r="H353" i="11"/>
  <c r="G353" i="11"/>
  <c r="C353" i="11"/>
  <c r="N352" i="11"/>
  <c r="M352" i="11"/>
  <c r="L352" i="11"/>
  <c r="K352" i="11"/>
  <c r="J352" i="11"/>
  <c r="I352" i="11"/>
  <c r="H352" i="11"/>
  <c r="G352" i="11"/>
  <c r="C352" i="11"/>
  <c r="N351" i="11"/>
  <c r="M351" i="11"/>
  <c r="L351" i="11"/>
  <c r="K351" i="11"/>
  <c r="J351" i="11"/>
  <c r="I351" i="11"/>
  <c r="H351" i="11"/>
  <c r="G351" i="11"/>
  <c r="C351" i="11"/>
  <c r="N350" i="11"/>
  <c r="M350" i="11"/>
  <c r="L350" i="11"/>
  <c r="K350" i="11"/>
  <c r="J350" i="11"/>
  <c r="I350" i="11"/>
  <c r="H350" i="11"/>
  <c r="G350" i="11"/>
  <c r="C350" i="11"/>
  <c r="N349" i="11"/>
  <c r="M349" i="11"/>
  <c r="L349" i="11"/>
  <c r="K349" i="11"/>
  <c r="J349" i="11"/>
  <c r="C349" i="11"/>
  <c r="M348" i="11"/>
  <c r="L348" i="11"/>
  <c r="K348" i="11"/>
  <c r="J348" i="11"/>
  <c r="I348" i="11"/>
  <c r="H348" i="11"/>
  <c r="G348" i="11"/>
  <c r="C348" i="11"/>
  <c r="L347" i="11"/>
  <c r="K347" i="11"/>
  <c r="J347" i="11"/>
  <c r="I347" i="11"/>
  <c r="H347" i="11"/>
  <c r="G347" i="11"/>
  <c r="C347" i="11"/>
  <c r="N346" i="11"/>
  <c r="M346" i="11"/>
  <c r="L346" i="11"/>
  <c r="K346" i="11"/>
  <c r="J346" i="11"/>
  <c r="I346" i="11"/>
  <c r="H346" i="11"/>
  <c r="G346" i="11"/>
  <c r="F346" i="11"/>
  <c r="C346" i="11"/>
  <c r="Z345" i="11"/>
  <c r="N345" i="11"/>
  <c r="M345" i="11"/>
  <c r="L345" i="11"/>
  <c r="K345" i="11"/>
  <c r="J345" i="11"/>
  <c r="I345" i="11"/>
  <c r="H345" i="11"/>
  <c r="G345" i="11"/>
  <c r="F345" i="11"/>
  <c r="C345" i="11"/>
  <c r="AA344" i="11"/>
  <c r="V344" i="11"/>
  <c r="N344" i="11"/>
  <c r="M344" i="11"/>
  <c r="L344" i="11"/>
  <c r="K344" i="11"/>
  <c r="J344" i="11"/>
  <c r="I344" i="11"/>
  <c r="H344" i="11"/>
  <c r="G344" i="11"/>
  <c r="F344" i="11"/>
  <c r="C344" i="11"/>
  <c r="AA343" i="11"/>
  <c r="V343" i="11"/>
  <c r="N343" i="11"/>
  <c r="M343" i="11"/>
  <c r="L343" i="11"/>
  <c r="K343" i="11"/>
  <c r="J343" i="11"/>
  <c r="I343" i="11"/>
  <c r="H343" i="11"/>
  <c r="G343" i="11"/>
  <c r="F343" i="11"/>
  <c r="C343" i="11"/>
  <c r="AA342" i="11"/>
  <c r="V342" i="11"/>
  <c r="N342" i="11"/>
  <c r="M342" i="11"/>
  <c r="L342" i="11"/>
  <c r="K342" i="11"/>
  <c r="J342" i="11"/>
  <c r="I342" i="11"/>
  <c r="H342" i="11"/>
  <c r="G342" i="11"/>
  <c r="F342" i="11"/>
  <c r="C342" i="11"/>
  <c r="AA341" i="11"/>
  <c r="V341" i="11"/>
  <c r="C341" i="11"/>
  <c r="B341" i="11"/>
  <c r="C340" i="11"/>
  <c r="C339" i="11"/>
  <c r="C338" i="11"/>
  <c r="N330" i="11"/>
  <c r="M330" i="11"/>
  <c r="L330" i="11"/>
  <c r="K330" i="11"/>
  <c r="J330" i="11"/>
  <c r="I330" i="11"/>
  <c r="H330" i="11"/>
  <c r="G330" i="11"/>
  <c r="F330" i="11"/>
  <c r="C330" i="11"/>
  <c r="N329" i="11"/>
  <c r="M329" i="11"/>
  <c r="L329" i="11"/>
  <c r="K329" i="11"/>
  <c r="J329" i="11"/>
  <c r="I329" i="11"/>
  <c r="H329" i="11"/>
  <c r="G329" i="11"/>
  <c r="F329" i="11"/>
  <c r="C329" i="11"/>
  <c r="C328" i="11"/>
  <c r="C327" i="11"/>
  <c r="C326" i="11"/>
  <c r="C325" i="11"/>
  <c r="C324" i="11"/>
  <c r="C323" i="11"/>
  <c r="C322" i="11"/>
  <c r="C321" i="11"/>
  <c r="M320" i="11"/>
  <c r="L320" i="11"/>
  <c r="K320" i="11"/>
  <c r="K331" i="11" s="1"/>
  <c r="J320" i="11"/>
  <c r="H320" i="11"/>
  <c r="H331" i="11" s="1"/>
  <c r="G320" i="11"/>
  <c r="F320" i="11"/>
  <c r="M319" i="11"/>
  <c r="L319" i="11"/>
  <c r="K319" i="11"/>
  <c r="J319" i="11"/>
  <c r="I319" i="11"/>
  <c r="H319" i="11"/>
  <c r="C319" i="11"/>
  <c r="N318" i="11"/>
  <c r="M318" i="11"/>
  <c r="L318" i="11"/>
  <c r="K318" i="11"/>
  <c r="J318" i="11"/>
  <c r="I318" i="11"/>
  <c r="H318" i="11"/>
  <c r="G318" i="11"/>
  <c r="C318" i="11"/>
  <c r="N317" i="11"/>
  <c r="M317" i="11"/>
  <c r="L317" i="11"/>
  <c r="K317" i="11"/>
  <c r="J317" i="11"/>
  <c r="I317" i="11"/>
  <c r="H317" i="11"/>
  <c r="G317" i="11"/>
  <c r="C317" i="11"/>
  <c r="N316" i="11"/>
  <c r="M316" i="11"/>
  <c r="L316" i="11"/>
  <c r="K316" i="11"/>
  <c r="J316" i="11"/>
  <c r="I316" i="11"/>
  <c r="H316" i="11"/>
  <c r="G316" i="11"/>
  <c r="C316" i="11"/>
  <c r="N315" i="11"/>
  <c r="M315" i="11"/>
  <c r="L315" i="11"/>
  <c r="K315" i="11"/>
  <c r="J315" i="11"/>
  <c r="I315" i="11"/>
  <c r="H315" i="11"/>
  <c r="G315" i="11"/>
  <c r="C315" i="11"/>
  <c r="N314" i="11"/>
  <c r="M314" i="11"/>
  <c r="L314" i="11"/>
  <c r="K314" i="11"/>
  <c r="J314" i="11"/>
  <c r="I314" i="11"/>
  <c r="H314" i="11"/>
  <c r="G314" i="11"/>
  <c r="C314" i="11"/>
  <c r="N313" i="11"/>
  <c r="M313" i="11"/>
  <c r="L313" i="11"/>
  <c r="K313" i="11"/>
  <c r="J313" i="11"/>
  <c r="C313" i="11"/>
  <c r="C312" i="11"/>
  <c r="L311" i="11"/>
  <c r="K311" i="11"/>
  <c r="J311" i="11"/>
  <c r="I311" i="11"/>
  <c r="H311" i="11"/>
  <c r="C311" i="11"/>
  <c r="L310" i="11"/>
  <c r="K310" i="11"/>
  <c r="J310" i="11"/>
  <c r="I310" i="11"/>
  <c r="H310" i="11"/>
  <c r="C310" i="11"/>
  <c r="V309" i="11"/>
  <c r="N309" i="11"/>
  <c r="M309" i="11"/>
  <c r="L309" i="11"/>
  <c r="K309" i="11"/>
  <c r="J309" i="11"/>
  <c r="I309" i="11"/>
  <c r="H309" i="11"/>
  <c r="G309" i="11"/>
  <c r="F309" i="11"/>
  <c r="C309" i="11"/>
  <c r="AA308" i="11"/>
  <c r="V308" i="11"/>
  <c r="N308" i="11"/>
  <c r="M308" i="11"/>
  <c r="L308" i="11"/>
  <c r="K308" i="11"/>
  <c r="J308" i="11"/>
  <c r="I308" i="11"/>
  <c r="H308" i="11"/>
  <c r="G308" i="11"/>
  <c r="F308" i="11"/>
  <c r="C308" i="11"/>
  <c r="AA307" i="11"/>
  <c r="V307" i="11"/>
  <c r="N307" i="11"/>
  <c r="M307" i="11"/>
  <c r="L307" i="11"/>
  <c r="K307" i="11"/>
  <c r="J307" i="11"/>
  <c r="I307" i="11"/>
  <c r="H307" i="11"/>
  <c r="G307" i="11"/>
  <c r="F307" i="11"/>
  <c r="C307" i="11"/>
  <c r="AA306" i="11"/>
  <c r="V306" i="11"/>
  <c r="N306" i="11"/>
  <c r="M306" i="11"/>
  <c r="L306" i="11"/>
  <c r="K306" i="11"/>
  <c r="J306" i="11"/>
  <c r="I306" i="11"/>
  <c r="H306" i="11"/>
  <c r="G306" i="11"/>
  <c r="F306" i="11"/>
  <c r="C306" i="11"/>
  <c r="AA305" i="11"/>
  <c r="V305" i="11"/>
  <c r="C305" i="11"/>
  <c r="B305" i="11"/>
  <c r="C304" i="11"/>
  <c r="C303" i="11"/>
  <c r="C302" i="11"/>
  <c r="N294" i="11"/>
  <c r="M294" i="11"/>
  <c r="L294" i="11"/>
  <c r="K294" i="11"/>
  <c r="J294" i="11"/>
  <c r="I294" i="11"/>
  <c r="H294" i="11"/>
  <c r="G294" i="11"/>
  <c r="F294" i="11"/>
  <c r="C294" i="11"/>
  <c r="N293" i="11"/>
  <c r="M293" i="11"/>
  <c r="L293" i="11"/>
  <c r="K293" i="11"/>
  <c r="J293" i="11"/>
  <c r="I293" i="11"/>
  <c r="H293" i="11"/>
  <c r="G293" i="11"/>
  <c r="F293" i="11"/>
  <c r="C293" i="11"/>
  <c r="C292" i="11"/>
  <c r="C291" i="11"/>
  <c r="C290" i="11"/>
  <c r="N289" i="11"/>
  <c r="M289" i="11"/>
  <c r="L289" i="11"/>
  <c r="K289" i="11"/>
  <c r="J289" i="11"/>
  <c r="H289" i="11"/>
  <c r="G289" i="11"/>
  <c r="C289" i="11"/>
  <c r="C288" i="11"/>
  <c r="C287" i="11"/>
  <c r="C286" i="11"/>
  <c r="C285" i="11"/>
  <c r="M284" i="11"/>
  <c r="L284" i="11"/>
  <c r="L295" i="11" s="1"/>
  <c r="K284" i="11"/>
  <c r="J284" i="11"/>
  <c r="H284" i="11"/>
  <c r="G284" i="11"/>
  <c r="G295" i="11" s="1"/>
  <c r="F284" i="11"/>
  <c r="M283" i="11"/>
  <c r="L283" i="11"/>
  <c r="K283" i="11"/>
  <c r="J283" i="11"/>
  <c r="I283" i="11"/>
  <c r="H283" i="11"/>
  <c r="G283" i="11"/>
  <c r="C283" i="11"/>
  <c r="N282" i="11"/>
  <c r="M282" i="11"/>
  <c r="L282" i="11"/>
  <c r="K282" i="11"/>
  <c r="J282" i="11"/>
  <c r="I282" i="11"/>
  <c r="H282" i="11"/>
  <c r="G282" i="11"/>
  <c r="C282" i="11"/>
  <c r="N281" i="11"/>
  <c r="M281" i="11"/>
  <c r="L281" i="11"/>
  <c r="K281" i="11"/>
  <c r="J281" i="11"/>
  <c r="I281" i="11"/>
  <c r="H281" i="11"/>
  <c r="G281" i="11"/>
  <c r="C281" i="11"/>
  <c r="N280" i="11"/>
  <c r="M280" i="11"/>
  <c r="L280" i="11"/>
  <c r="K280" i="11"/>
  <c r="J280" i="11"/>
  <c r="I280" i="11"/>
  <c r="H280" i="11"/>
  <c r="G280" i="11"/>
  <c r="C280" i="11"/>
  <c r="N279" i="11"/>
  <c r="M279" i="11"/>
  <c r="L279" i="11"/>
  <c r="K279" i="11"/>
  <c r="J279" i="11"/>
  <c r="I279" i="11"/>
  <c r="H279" i="11"/>
  <c r="G279" i="11"/>
  <c r="C279" i="11"/>
  <c r="N278" i="11"/>
  <c r="M278" i="11"/>
  <c r="L278" i="11"/>
  <c r="K278" i="11"/>
  <c r="J278" i="11"/>
  <c r="I278" i="11"/>
  <c r="H278" i="11"/>
  <c r="G278" i="11"/>
  <c r="C278" i="11"/>
  <c r="N277" i="11"/>
  <c r="M277" i="11"/>
  <c r="L277" i="11"/>
  <c r="K277" i="11"/>
  <c r="J277" i="11"/>
  <c r="C277" i="11"/>
  <c r="N276" i="11"/>
  <c r="M276" i="11"/>
  <c r="L276" i="11"/>
  <c r="K276" i="11"/>
  <c r="J276" i="11"/>
  <c r="H276" i="11"/>
  <c r="G276" i="11"/>
  <c r="C276" i="11"/>
  <c r="L275" i="11"/>
  <c r="K275" i="11"/>
  <c r="J275" i="11"/>
  <c r="I275" i="11"/>
  <c r="H275" i="11"/>
  <c r="G275" i="11"/>
  <c r="C275" i="11"/>
  <c r="N274" i="11"/>
  <c r="M274" i="11"/>
  <c r="L274" i="11"/>
  <c r="K274" i="11"/>
  <c r="J274" i="11"/>
  <c r="I274" i="11"/>
  <c r="H274" i="11"/>
  <c r="G274" i="11"/>
  <c r="F274" i="11"/>
  <c r="C274" i="11"/>
  <c r="N273" i="11"/>
  <c r="M273" i="11"/>
  <c r="L273" i="11"/>
  <c r="K273" i="11"/>
  <c r="J273" i="11"/>
  <c r="I273" i="11"/>
  <c r="H273" i="11"/>
  <c r="G273" i="11"/>
  <c r="F273" i="11"/>
  <c r="C273" i="11"/>
  <c r="AA272" i="11"/>
  <c r="V272" i="11"/>
  <c r="N272" i="11"/>
  <c r="M272" i="11"/>
  <c r="L272" i="11"/>
  <c r="K272" i="11"/>
  <c r="J272" i="11"/>
  <c r="I272" i="11"/>
  <c r="H272" i="11"/>
  <c r="G272" i="11"/>
  <c r="F272" i="11"/>
  <c r="C272" i="11"/>
  <c r="AA271" i="11"/>
  <c r="V271" i="11"/>
  <c r="N271" i="11"/>
  <c r="M271" i="11"/>
  <c r="L271" i="11"/>
  <c r="K271" i="11"/>
  <c r="J271" i="11"/>
  <c r="I271" i="11"/>
  <c r="H271" i="11"/>
  <c r="G271" i="11"/>
  <c r="F271" i="11"/>
  <c r="C271" i="11"/>
  <c r="AA270" i="11"/>
  <c r="V270" i="11"/>
  <c r="N270" i="11"/>
  <c r="M270" i="11"/>
  <c r="L270" i="11"/>
  <c r="K270" i="11"/>
  <c r="J270" i="11"/>
  <c r="I270" i="11"/>
  <c r="H270" i="11"/>
  <c r="G270" i="11"/>
  <c r="F270" i="11"/>
  <c r="C270" i="11"/>
  <c r="AA269" i="11"/>
  <c r="V269" i="11"/>
  <c r="C269" i="11"/>
  <c r="B269" i="11"/>
  <c r="C268" i="11"/>
  <c r="C267" i="11"/>
  <c r="C266" i="11"/>
  <c r="N258" i="11"/>
  <c r="M258" i="11"/>
  <c r="L258" i="11"/>
  <c r="K258" i="11"/>
  <c r="J258" i="11"/>
  <c r="I258" i="11"/>
  <c r="H258" i="11"/>
  <c r="G258" i="11"/>
  <c r="F258" i="11"/>
  <c r="C258" i="11"/>
  <c r="N257" i="11"/>
  <c r="M257" i="11"/>
  <c r="L257" i="11"/>
  <c r="K257" i="11"/>
  <c r="J257" i="11"/>
  <c r="I257" i="11"/>
  <c r="H257" i="11"/>
  <c r="G257" i="11"/>
  <c r="F257" i="11"/>
  <c r="C257" i="11"/>
  <c r="C256" i="11"/>
  <c r="C255" i="11"/>
  <c r="C254" i="11"/>
  <c r="C253" i="11"/>
  <c r="C252" i="11"/>
  <c r="C251" i="11"/>
  <c r="C250" i="11"/>
  <c r="C249" i="11"/>
  <c r="M248" i="11"/>
  <c r="L248" i="11"/>
  <c r="K248" i="11"/>
  <c r="J248" i="11"/>
  <c r="J259" i="11" s="1"/>
  <c r="H248" i="11"/>
  <c r="G248" i="11"/>
  <c r="G259" i="11" s="1"/>
  <c r="F248" i="11"/>
  <c r="M247" i="11"/>
  <c r="L247" i="11"/>
  <c r="K247" i="11"/>
  <c r="J247" i="11"/>
  <c r="I247" i="11"/>
  <c r="H247" i="11"/>
  <c r="G247" i="11"/>
  <c r="C247" i="11"/>
  <c r="N246" i="11"/>
  <c r="M246" i="11"/>
  <c r="L246" i="11"/>
  <c r="K246" i="11"/>
  <c r="J246" i="11"/>
  <c r="I246" i="11"/>
  <c r="H246" i="11"/>
  <c r="G246" i="11"/>
  <c r="C246" i="11"/>
  <c r="N245" i="11"/>
  <c r="M245" i="11"/>
  <c r="L245" i="11"/>
  <c r="K245" i="11"/>
  <c r="J245" i="11"/>
  <c r="I245" i="11"/>
  <c r="H245" i="11"/>
  <c r="G245" i="11"/>
  <c r="C245" i="11"/>
  <c r="N244" i="11"/>
  <c r="M244" i="11"/>
  <c r="L244" i="11"/>
  <c r="K244" i="11"/>
  <c r="J244" i="11"/>
  <c r="I244" i="11"/>
  <c r="H244" i="11"/>
  <c r="G244" i="11"/>
  <c r="C244" i="11"/>
  <c r="N243" i="11"/>
  <c r="M243" i="11"/>
  <c r="L243" i="11"/>
  <c r="K243" i="11"/>
  <c r="J243" i="11"/>
  <c r="I243" i="11"/>
  <c r="H243" i="11"/>
  <c r="G243" i="11"/>
  <c r="C243" i="11"/>
  <c r="N242" i="11"/>
  <c r="M242" i="11"/>
  <c r="L242" i="11"/>
  <c r="K242" i="11"/>
  <c r="J242" i="11"/>
  <c r="I242" i="11"/>
  <c r="H242" i="11"/>
  <c r="G242" i="11"/>
  <c r="C242" i="11"/>
  <c r="C241" i="11"/>
  <c r="N240" i="11"/>
  <c r="M240" i="11"/>
  <c r="L240" i="11"/>
  <c r="K240" i="11"/>
  <c r="J240" i="11"/>
  <c r="I240" i="11"/>
  <c r="H240" i="11"/>
  <c r="G240" i="11"/>
  <c r="C240" i="11"/>
  <c r="L239" i="11"/>
  <c r="K239" i="11"/>
  <c r="J239" i="11"/>
  <c r="I239" i="11"/>
  <c r="H239" i="11"/>
  <c r="G239" i="11"/>
  <c r="C239" i="11"/>
  <c r="N238" i="11"/>
  <c r="M238" i="11"/>
  <c r="L238" i="11"/>
  <c r="K238" i="11"/>
  <c r="J238" i="11"/>
  <c r="I238" i="11"/>
  <c r="H238" i="11"/>
  <c r="G238" i="11"/>
  <c r="F238" i="11"/>
  <c r="C238" i="11"/>
  <c r="N237" i="11"/>
  <c r="M237" i="11"/>
  <c r="L237" i="11"/>
  <c r="K237" i="11"/>
  <c r="J237" i="11"/>
  <c r="I237" i="11"/>
  <c r="H237" i="11"/>
  <c r="G237" i="11"/>
  <c r="F237" i="11"/>
  <c r="C237" i="11"/>
  <c r="N236" i="11"/>
  <c r="M236" i="11"/>
  <c r="L236" i="11"/>
  <c r="K236" i="11"/>
  <c r="J236" i="11"/>
  <c r="I236" i="11"/>
  <c r="H236" i="11"/>
  <c r="G236" i="11"/>
  <c r="F236" i="11"/>
  <c r="C236" i="11"/>
  <c r="N235" i="11"/>
  <c r="M235" i="11"/>
  <c r="L235" i="11"/>
  <c r="K235" i="11"/>
  <c r="J235" i="11"/>
  <c r="I235" i="11"/>
  <c r="H235" i="11"/>
  <c r="G235" i="11"/>
  <c r="F235" i="11"/>
  <c r="C235" i="11"/>
  <c r="N234" i="11"/>
  <c r="M234" i="11"/>
  <c r="L234" i="11"/>
  <c r="K234" i="11"/>
  <c r="J234" i="11"/>
  <c r="I234" i="11"/>
  <c r="H234" i="11"/>
  <c r="G234" i="11"/>
  <c r="F234" i="11"/>
  <c r="C234" i="11"/>
  <c r="C233" i="11"/>
  <c r="B233" i="11"/>
  <c r="C232" i="11"/>
  <c r="C231" i="11"/>
  <c r="C230" i="11"/>
  <c r="N223" i="11"/>
  <c r="N222" i="11"/>
  <c r="M222" i="11"/>
  <c r="L222" i="11"/>
  <c r="K222" i="11"/>
  <c r="J222" i="11"/>
  <c r="I222" i="11"/>
  <c r="H222" i="11"/>
  <c r="G222" i="11"/>
  <c r="F222" i="11"/>
  <c r="C222" i="11"/>
  <c r="N221" i="11"/>
  <c r="M221" i="11"/>
  <c r="L221" i="11"/>
  <c r="K221" i="11"/>
  <c r="J221" i="11"/>
  <c r="I221" i="11"/>
  <c r="H221" i="11"/>
  <c r="G221" i="11"/>
  <c r="F221" i="11"/>
  <c r="C221" i="11"/>
  <c r="C220" i="11"/>
  <c r="C219" i="11"/>
  <c r="C218" i="11"/>
  <c r="C217" i="11"/>
  <c r="C216" i="11"/>
  <c r="C215" i="11"/>
  <c r="C214" i="11"/>
  <c r="C213" i="11"/>
  <c r="M212" i="11"/>
  <c r="L212" i="11"/>
  <c r="K212" i="11"/>
  <c r="J212" i="11"/>
  <c r="H212" i="11"/>
  <c r="G212" i="11"/>
  <c r="G223" i="11" s="1"/>
  <c r="F212" i="11"/>
  <c r="F223" i="11" s="1"/>
  <c r="N211" i="11"/>
  <c r="M211" i="11"/>
  <c r="L211" i="11"/>
  <c r="K211" i="11"/>
  <c r="J211" i="11"/>
  <c r="I211" i="11"/>
  <c r="H211" i="11"/>
  <c r="G211" i="11"/>
  <c r="C211" i="11"/>
  <c r="M210" i="11"/>
  <c r="L210" i="11"/>
  <c r="K210" i="11"/>
  <c r="J210" i="11"/>
  <c r="I210" i="11"/>
  <c r="H210" i="11"/>
  <c r="G210" i="11"/>
  <c r="C210" i="11"/>
  <c r="N209" i="11"/>
  <c r="M209" i="11"/>
  <c r="L209" i="11"/>
  <c r="K209" i="11"/>
  <c r="J209" i="11"/>
  <c r="I209" i="11"/>
  <c r="H209" i="11"/>
  <c r="G209" i="11"/>
  <c r="C209" i="11"/>
  <c r="N208" i="11"/>
  <c r="M208" i="11"/>
  <c r="L208" i="11"/>
  <c r="K208" i="11"/>
  <c r="J208" i="11"/>
  <c r="I208" i="11"/>
  <c r="H208" i="11"/>
  <c r="G208" i="11"/>
  <c r="C208" i="11"/>
  <c r="N207" i="11"/>
  <c r="M207" i="11"/>
  <c r="L207" i="11"/>
  <c r="K207" i="11"/>
  <c r="J207" i="11"/>
  <c r="I207" i="11"/>
  <c r="H207" i="11"/>
  <c r="G207" i="11"/>
  <c r="C207" i="11"/>
  <c r="N206" i="11"/>
  <c r="M206" i="11"/>
  <c r="L206" i="11"/>
  <c r="K206" i="11"/>
  <c r="J206" i="11"/>
  <c r="I206" i="11"/>
  <c r="H206" i="11"/>
  <c r="G206" i="11"/>
  <c r="C206" i="11"/>
  <c r="N205" i="11"/>
  <c r="M205" i="11"/>
  <c r="L205" i="11"/>
  <c r="K205" i="11"/>
  <c r="J205" i="11"/>
  <c r="I205" i="11"/>
  <c r="H205" i="11"/>
  <c r="G205" i="11"/>
  <c r="C205" i="11"/>
  <c r="C204" i="11"/>
  <c r="L203" i="11"/>
  <c r="K203" i="11"/>
  <c r="J203" i="11"/>
  <c r="I203" i="11"/>
  <c r="H203" i="11"/>
  <c r="G203" i="11"/>
  <c r="C203" i="11"/>
  <c r="N202" i="11"/>
  <c r="L202" i="11"/>
  <c r="K202" i="11"/>
  <c r="J202" i="11"/>
  <c r="I202" i="11"/>
  <c r="H202" i="11"/>
  <c r="C202" i="11"/>
  <c r="N201" i="11"/>
  <c r="M201" i="11"/>
  <c r="L201" i="11"/>
  <c r="K201" i="11"/>
  <c r="J201" i="11"/>
  <c r="I201" i="11"/>
  <c r="H201" i="11"/>
  <c r="G201" i="11"/>
  <c r="F201" i="11"/>
  <c r="C201" i="11"/>
  <c r="AA200" i="11"/>
  <c r="Z200" i="11"/>
  <c r="V200" i="11"/>
  <c r="N200" i="11"/>
  <c r="M200" i="11"/>
  <c r="L200" i="11"/>
  <c r="K200" i="11"/>
  <c r="J200" i="11"/>
  <c r="I200" i="11"/>
  <c r="H200" i="11"/>
  <c r="G200" i="11"/>
  <c r="F200" i="11"/>
  <c r="C200" i="11"/>
  <c r="AA199" i="11"/>
  <c r="Z199" i="11"/>
  <c r="V199" i="11"/>
  <c r="N199" i="11"/>
  <c r="M199" i="11"/>
  <c r="L199" i="11"/>
  <c r="K199" i="11"/>
  <c r="J199" i="11"/>
  <c r="I199" i="11"/>
  <c r="H199" i="11"/>
  <c r="G199" i="11"/>
  <c r="F199" i="11"/>
  <c r="C199" i="11"/>
  <c r="AA198" i="11"/>
  <c r="Z198" i="11"/>
  <c r="V198" i="11"/>
  <c r="N198" i="11"/>
  <c r="M198" i="11"/>
  <c r="L198" i="11"/>
  <c r="K198" i="11"/>
  <c r="J198" i="11"/>
  <c r="I198" i="11"/>
  <c r="H198" i="11"/>
  <c r="G198" i="11"/>
  <c r="F198" i="11"/>
  <c r="C198" i="11"/>
  <c r="AA197" i="11"/>
  <c r="Z197" i="11"/>
  <c r="V197" i="11"/>
  <c r="C197" i="11"/>
  <c r="B197" i="11"/>
  <c r="C196" i="11"/>
  <c r="C195" i="11"/>
  <c r="C194" i="11"/>
  <c r="N186" i="11"/>
  <c r="M186" i="11"/>
  <c r="L186" i="11"/>
  <c r="K186" i="11"/>
  <c r="J186" i="11"/>
  <c r="I186" i="11"/>
  <c r="H186" i="11"/>
  <c r="G186" i="11"/>
  <c r="F186" i="11"/>
  <c r="C186" i="11"/>
  <c r="N185" i="11"/>
  <c r="M185" i="11"/>
  <c r="L185" i="11"/>
  <c r="K185" i="11"/>
  <c r="J185" i="11"/>
  <c r="I185" i="11"/>
  <c r="H185" i="11"/>
  <c r="G185" i="11"/>
  <c r="F185" i="11"/>
  <c r="C185" i="11"/>
  <c r="C184" i="11"/>
  <c r="C183" i="11"/>
  <c r="M182" i="11"/>
  <c r="L182" i="11"/>
  <c r="K182" i="11"/>
  <c r="J182" i="11"/>
  <c r="I182" i="11"/>
  <c r="H182" i="11"/>
  <c r="G182" i="11"/>
  <c r="C182" i="11"/>
  <c r="M181" i="11"/>
  <c r="L181" i="11"/>
  <c r="K181" i="11"/>
  <c r="J181" i="11"/>
  <c r="I181" i="11"/>
  <c r="H181" i="11"/>
  <c r="G181" i="11"/>
  <c r="C181" i="11"/>
  <c r="N180" i="11"/>
  <c r="M180" i="11"/>
  <c r="L180" i="11"/>
  <c r="K180" i="11"/>
  <c r="J180" i="11"/>
  <c r="I180" i="11"/>
  <c r="C180" i="11"/>
  <c r="X179" i="11"/>
  <c r="W179" i="11"/>
  <c r="V179" i="11"/>
  <c r="U179" i="11"/>
  <c r="T179" i="11"/>
  <c r="S179" i="11"/>
  <c r="R179" i="11"/>
  <c r="Q179" i="11"/>
  <c r="N179" i="11"/>
  <c r="M179" i="11"/>
  <c r="L179" i="11"/>
  <c r="K179" i="11"/>
  <c r="J179" i="11"/>
  <c r="I179" i="11"/>
  <c r="C179" i="11"/>
  <c r="V178" i="11"/>
  <c r="U178" i="11"/>
  <c r="N178" i="11"/>
  <c r="M178" i="11"/>
  <c r="L178" i="11"/>
  <c r="K178" i="11"/>
  <c r="J178" i="11"/>
  <c r="I178" i="11"/>
  <c r="H178" i="11"/>
  <c r="G178" i="11"/>
  <c r="F178" i="11"/>
  <c r="C178" i="11"/>
  <c r="X177" i="11"/>
  <c r="V177" i="11"/>
  <c r="T177" i="11"/>
  <c r="N177" i="11"/>
  <c r="M177" i="11"/>
  <c r="L177" i="11"/>
  <c r="K177" i="11"/>
  <c r="J177" i="11"/>
  <c r="I177" i="11"/>
  <c r="H177" i="11"/>
  <c r="G177" i="11"/>
  <c r="F177" i="11"/>
  <c r="C177" i="11"/>
  <c r="M176" i="11"/>
  <c r="L176" i="11"/>
  <c r="K176" i="11"/>
  <c r="J176" i="11"/>
  <c r="H176" i="11"/>
  <c r="G176" i="11"/>
  <c r="F176" i="11"/>
  <c r="M175" i="11"/>
  <c r="L175" i="11"/>
  <c r="K175" i="11"/>
  <c r="J175" i="11"/>
  <c r="I175" i="11"/>
  <c r="H175" i="11"/>
  <c r="G175" i="11"/>
  <c r="C175" i="11"/>
  <c r="AD174" i="11"/>
  <c r="AB174" i="11"/>
  <c r="N174" i="11"/>
  <c r="M174" i="11"/>
  <c r="L174" i="11"/>
  <c r="K174" i="11"/>
  <c r="J174" i="11"/>
  <c r="I174" i="11"/>
  <c r="H174" i="11"/>
  <c r="G174" i="11"/>
  <c r="C174" i="11"/>
  <c r="AD173" i="11"/>
  <c r="AB173" i="11"/>
  <c r="N173" i="11"/>
  <c r="M173" i="11"/>
  <c r="L173" i="11"/>
  <c r="K173" i="11"/>
  <c r="J173" i="11"/>
  <c r="I173" i="11"/>
  <c r="H173" i="11"/>
  <c r="G173" i="11"/>
  <c r="C173" i="11"/>
  <c r="AD172" i="11"/>
  <c r="AB172" i="11"/>
  <c r="N172" i="11"/>
  <c r="M172" i="11"/>
  <c r="L172" i="11"/>
  <c r="K172" i="11"/>
  <c r="J172" i="11"/>
  <c r="I172" i="11"/>
  <c r="H172" i="11"/>
  <c r="G172" i="11"/>
  <c r="C172" i="11"/>
  <c r="AD171" i="11"/>
  <c r="AB171" i="11"/>
  <c r="N171" i="11"/>
  <c r="M171" i="11"/>
  <c r="L171" i="11"/>
  <c r="K171" i="11"/>
  <c r="J171" i="11"/>
  <c r="I171" i="11"/>
  <c r="H171" i="11"/>
  <c r="G171" i="11"/>
  <c r="C171" i="11"/>
  <c r="AD170" i="11"/>
  <c r="AB170" i="11"/>
  <c r="N170" i="11"/>
  <c r="M170" i="11"/>
  <c r="L170" i="11"/>
  <c r="K170" i="11"/>
  <c r="J170" i="11"/>
  <c r="I170" i="11"/>
  <c r="H170" i="11"/>
  <c r="G170" i="11"/>
  <c r="C170" i="11"/>
  <c r="N169" i="11"/>
  <c r="M169" i="11"/>
  <c r="L169" i="11"/>
  <c r="K169" i="11"/>
  <c r="J169" i="11"/>
  <c r="C169" i="11"/>
  <c r="L168" i="11"/>
  <c r="G168" i="11"/>
  <c r="N167" i="11"/>
  <c r="L167" i="11"/>
  <c r="K167" i="11"/>
  <c r="J167" i="11"/>
  <c r="I167" i="11"/>
  <c r="H167" i="11"/>
  <c r="G167" i="11"/>
  <c r="C167" i="11"/>
  <c r="N166" i="11"/>
  <c r="L166" i="11"/>
  <c r="K166" i="11"/>
  <c r="J166" i="11"/>
  <c r="I166" i="11"/>
  <c r="H166" i="11"/>
  <c r="C166" i="11"/>
  <c r="N165" i="11"/>
  <c r="M165" i="11"/>
  <c r="L165" i="11"/>
  <c r="K165" i="11"/>
  <c r="J165" i="11"/>
  <c r="I165" i="11"/>
  <c r="H165" i="11"/>
  <c r="G165" i="11"/>
  <c r="F165" i="11"/>
  <c r="C165" i="11"/>
  <c r="AA164" i="11"/>
  <c r="V164" i="11"/>
  <c r="N164" i="11"/>
  <c r="M164" i="11"/>
  <c r="L164" i="11"/>
  <c r="K164" i="11"/>
  <c r="J164" i="11"/>
  <c r="I164" i="11"/>
  <c r="H164" i="11"/>
  <c r="G164" i="11"/>
  <c r="F164" i="11"/>
  <c r="C164" i="11"/>
  <c r="AA163" i="11"/>
  <c r="V163" i="11"/>
  <c r="N163" i="11"/>
  <c r="M163" i="11"/>
  <c r="L163" i="11"/>
  <c r="K163" i="11"/>
  <c r="J163" i="11"/>
  <c r="I163" i="11"/>
  <c r="H163" i="11"/>
  <c r="G163" i="11"/>
  <c r="F163" i="11"/>
  <c r="C163" i="11"/>
  <c r="AA162" i="11"/>
  <c r="V162" i="11"/>
  <c r="N162" i="11"/>
  <c r="M162" i="11"/>
  <c r="L162" i="11"/>
  <c r="K162" i="11"/>
  <c r="J162" i="11"/>
  <c r="I162" i="11"/>
  <c r="H162" i="11"/>
  <c r="G162" i="11"/>
  <c r="F162" i="11"/>
  <c r="C162" i="11"/>
  <c r="AA161" i="11"/>
  <c r="C161" i="11"/>
  <c r="B161" i="11"/>
  <c r="C160" i="11"/>
  <c r="C159" i="11"/>
  <c r="C158" i="11"/>
  <c r="N150" i="11"/>
  <c r="M150" i="11"/>
  <c r="L150" i="11"/>
  <c r="K150" i="11"/>
  <c r="J150" i="11"/>
  <c r="I150" i="11"/>
  <c r="H150" i="11"/>
  <c r="G150" i="11"/>
  <c r="F150" i="11"/>
  <c r="C150" i="11"/>
  <c r="N149" i="11"/>
  <c r="M149" i="11"/>
  <c r="L149" i="11"/>
  <c r="K149" i="11"/>
  <c r="J149" i="11"/>
  <c r="I149" i="11"/>
  <c r="H149" i="11"/>
  <c r="G149" i="11"/>
  <c r="F149" i="11"/>
  <c r="C149" i="11"/>
  <c r="C148" i="11"/>
  <c r="C147" i="11"/>
  <c r="N146" i="11"/>
  <c r="M146" i="11"/>
  <c r="L146" i="11"/>
  <c r="K146" i="11"/>
  <c r="J146" i="11"/>
  <c r="I146" i="11"/>
  <c r="H146" i="11"/>
  <c r="G146" i="11"/>
  <c r="F146" i="11"/>
  <c r="N145" i="11"/>
  <c r="M145" i="11"/>
  <c r="L145" i="11"/>
  <c r="K145" i="11"/>
  <c r="J145" i="11"/>
  <c r="H145" i="11"/>
  <c r="G145" i="11"/>
  <c r="C144" i="11"/>
  <c r="C143" i="11"/>
  <c r="C142" i="11"/>
  <c r="M140" i="11"/>
  <c r="L140" i="11"/>
  <c r="K140" i="11"/>
  <c r="J140" i="11"/>
  <c r="H140" i="11"/>
  <c r="G140" i="11"/>
  <c r="F140" i="11"/>
  <c r="M139" i="11"/>
  <c r="L139" i="11"/>
  <c r="K139" i="11"/>
  <c r="J139" i="11"/>
  <c r="I139" i="11"/>
  <c r="H139" i="11"/>
  <c r="G139" i="11"/>
  <c r="C139" i="11"/>
  <c r="N138" i="11"/>
  <c r="M138" i="11"/>
  <c r="L138" i="11"/>
  <c r="K138" i="11"/>
  <c r="J138" i="11"/>
  <c r="I138" i="11"/>
  <c r="H138" i="11"/>
  <c r="G138" i="11"/>
  <c r="C138" i="11"/>
  <c r="N137" i="11"/>
  <c r="M137" i="11"/>
  <c r="L137" i="11"/>
  <c r="K137" i="11"/>
  <c r="J137" i="11"/>
  <c r="I137" i="11"/>
  <c r="H137" i="11"/>
  <c r="G137" i="11"/>
  <c r="C137" i="11"/>
  <c r="N136" i="11"/>
  <c r="M136" i="11"/>
  <c r="L136" i="11"/>
  <c r="K136" i="11"/>
  <c r="J136" i="11"/>
  <c r="I136" i="11"/>
  <c r="H136" i="11"/>
  <c r="G136" i="11"/>
  <c r="C136" i="11"/>
  <c r="N135" i="11"/>
  <c r="M135" i="11"/>
  <c r="L135" i="11"/>
  <c r="K135" i="11"/>
  <c r="J135" i="11"/>
  <c r="I135" i="11"/>
  <c r="H135" i="11"/>
  <c r="G135" i="11"/>
  <c r="C135" i="11"/>
  <c r="N134" i="11"/>
  <c r="M134" i="11"/>
  <c r="L134" i="11"/>
  <c r="K134" i="11"/>
  <c r="J134" i="11"/>
  <c r="I134" i="11"/>
  <c r="H134" i="11"/>
  <c r="G134" i="11"/>
  <c r="C134" i="11"/>
  <c r="F133" i="11"/>
  <c r="G133" i="11" s="1"/>
  <c r="H133" i="11" s="1"/>
  <c r="I133" i="11" s="1"/>
  <c r="C132" i="11"/>
  <c r="N131" i="11"/>
  <c r="L131" i="11"/>
  <c r="K131" i="11"/>
  <c r="J131" i="11"/>
  <c r="I131" i="11"/>
  <c r="H131" i="11"/>
  <c r="G131" i="11"/>
  <c r="C131" i="11"/>
  <c r="N130" i="11"/>
  <c r="L130" i="11"/>
  <c r="K130" i="11"/>
  <c r="J130" i="11"/>
  <c r="I130" i="11"/>
  <c r="H130" i="11"/>
  <c r="C130" i="11"/>
  <c r="N129" i="11"/>
  <c r="M129" i="11"/>
  <c r="L129" i="11"/>
  <c r="K129" i="11"/>
  <c r="J129" i="11"/>
  <c r="I129" i="11"/>
  <c r="H129" i="11"/>
  <c r="G129" i="11"/>
  <c r="F129" i="11"/>
  <c r="C129" i="11"/>
  <c r="N128" i="11"/>
  <c r="M128" i="11"/>
  <c r="L128" i="11"/>
  <c r="K128" i="11"/>
  <c r="J128" i="11"/>
  <c r="I128" i="11"/>
  <c r="H128" i="11"/>
  <c r="G128" i="11"/>
  <c r="F128" i="11"/>
  <c r="C128" i="11"/>
  <c r="AA127" i="11"/>
  <c r="V127" i="11"/>
  <c r="N127" i="11"/>
  <c r="M127" i="11"/>
  <c r="L127" i="11"/>
  <c r="K127" i="11"/>
  <c r="J127" i="11"/>
  <c r="I127" i="11"/>
  <c r="H127" i="11"/>
  <c r="G127" i="11"/>
  <c r="F127" i="11"/>
  <c r="C127" i="11"/>
  <c r="AA126" i="11"/>
  <c r="V126" i="11"/>
  <c r="N126" i="11"/>
  <c r="M126" i="11"/>
  <c r="L126" i="11"/>
  <c r="K126" i="11"/>
  <c r="J126" i="11"/>
  <c r="I126" i="11"/>
  <c r="H126" i="11"/>
  <c r="G126" i="11"/>
  <c r="F126" i="11"/>
  <c r="C126" i="11"/>
  <c r="AA125" i="11"/>
  <c r="V125" i="11"/>
  <c r="C125" i="11"/>
  <c r="B125" i="11"/>
  <c r="C124" i="11"/>
  <c r="C123" i="11"/>
  <c r="C122" i="11"/>
  <c r="K117" i="11"/>
  <c r="J117" i="11"/>
  <c r="L116" i="11"/>
  <c r="K116" i="11"/>
  <c r="N114" i="11"/>
  <c r="M114" i="11"/>
  <c r="L114" i="11"/>
  <c r="K114" i="11"/>
  <c r="J114" i="11"/>
  <c r="I114" i="11"/>
  <c r="H114" i="11"/>
  <c r="G114" i="11"/>
  <c r="F114" i="11"/>
  <c r="C114" i="11"/>
  <c r="N113" i="11"/>
  <c r="M113" i="11"/>
  <c r="L113" i="11"/>
  <c r="K113" i="11"/>
  <c r="J113" i="11"/>
  <c r="I113" i="11"/>
  <c r="H113" i="11"/>
  <c r="G113" i="11"/>
  <c r="F113" i="11"/>
  <c r="C113" i="11"/>
  <c r="C112" i="11"/>
  <c r="C111" i="11"/>
  <c r="N110" i="11"/>
  <c r="M110" i="11"/>
  <c r="L110" i="11"/>
  <c r="K110" i="11"/>
  <c r="J110" i="11"/>
  <c r="I110" i="11"/>
  <c r="H110" i="11"/>
  <c r="G110" i="11"/>
  <c r="F110" i="11"/>
  <c r="C110" i="11"/>
  <c r="C109" i="11"/>
  <c r="C108" i="11"/>
  <c r="C107" i="11"/>
  <c r="C106" i="11"/>
  <c r="C105" i="11"/>
  <c r="M104" i="11"/>
  <c r="L104" i="11"/>
  <c r="K104" i="11"/>
  <c r="J104" i="11"/>
  <c r="H104" i="11"/>
  <c r="G104" i="11"/>
  <c r="F104" i="11"/>
  <c r="M103" i="11"/>
  <c r="L103" i="11"/>
  <c r="K103" i="11"/>
  <c r="J103" i="11"/>
  <c r="I103" i="11"/>
  <c r="H103" i="11"/>
  <c r="G103" i="11"/>
  <c r="C103" i="11"/>
  <c r="N102" i="11"/>
  <c r="M102" i="11"/>
  <c r="L102" i="11"/>
  <c r="K102" i="11"/>
  <c r="J102" i="11"/>
  <c r="I102" i="11"/>
  <c r="H102" i="11"/>
  <c r="G102" i="11"/>
  <c r="C102" i="11"/>
  <c r="N101" i="11"/>
  <c r="M101" i="11"/>
  <c r="L101" i="11"/>
  <c r="K101" i="11"/>
  <c r="J101" i="11"/>
  <c r="I101" i="11"/>
  <c r="H101" i="11"/>
  <c r="G101" i="11"/>
  <c r="C101" i="11"/>
  <c r="N100" i="11"/>
  <c r="M100" i="11"/>
  <c r="L100" i="11"/>
  <c r="K100" i="11"/>
  <c r="J100" i="11"/>
  <c r="I100" i="11"/>
  <c r="H100" i="11"/>
  <c r="G100" i="11"/>
  <c r="C100" i="11"/>
  <c r="N99" i="11"/>
  <c r="M99" i="11"/>
  <c r="L99" i="11"/>
  <c r="K99" i="11"/>
  <c r="J99" i="11"/>
  <c r="I99" i="11"/>
  <c r="H99" i="11"/>
  <c r="G99" i="11"/>
  <c r="C99" i="11"/>
  <c r="N98" i="11"/>
  <c r="M98" i="11"/>
  <c r="L98" i="11"/>
  <c r="K98" i="11"/>
  <c r="J98" i="11"/>
  <c r="I98" i="11"/>
  <c r="H98" i="11"/>
  <c r="G98" i="11"/>
  <c r="C98" i="11"/>
  <c r="C97" i="11"/>
  <c r="O96" i="11"/>
  <c r="N96" i="11"/>
  <c r="M96" i="11"/>
  <c r="L96" i="11"/>
  <c r="K96" i="11"/>
  <c r="J96" i="11"/>
  <c r="I96" i="11"/>
  <c r="H96" i="11"/>
  <c r="G96" i="11"/>
  <c r="F96" i="11"/>
  <c r="C96" i="11"/>
  <c r="N95" i="11"/>
  <c r="L95" i="11"/>
  <c r="K95" i="11"/>
  <c r="J95" i="11"/>
  <c r="H95" i="11"/>
  <c r="G95" i="11"/>
  <c r="C95" i="11"/>
  <c r="N94" i="11"/>
  <c r="M94" i="11"/>
  <c r="L94" i="11"/>
  <c r="K94" i="11"/>
  <c r="J94" i="11"/>
  <c r="I94" i="11"/>
  <c r="H94" i="11"/>
  <c r="G94" i="11"/>
  <c r="F94" i="11"/>
  <c r="C94" i="11"/>
  <c r="AA93" i="11"/>
  <c r="Z93" i="11"/>
  <c r="N93" i="11"/>
  <c r="M93" i="11"/>
  <c r="L93" i="11"/>
  <c r="K93" i="11"/>
  <c r="J93" i="11"/>
  <c r="I93" i="11"/>
  <c r="H93" i="11"/>
  <c r="G93" i="11"/>
  <c r="F93" i="11"/>
  <c r="C93" i="11"/>
  <c r="AA92" i="11"/>
  <c r="Z92" i="11"/>
  <c r="V92" i="11"/>
  <c r="N92" i="11"/>
  <c r="M92" i="11"/>
  <c r="L92" i="11"/>
  <c r="K92" i="11"/>
  <c r="J92" i="11"/>
  <c r="I92" i="11"/>
  <c r="H92" i="11"/>
  <c r="G92" i="11"/>
  <c r="F92" i="11"/>
  <c r="C92" i="11"/>
  <c r="AA91" i="11"/>
  <c r="Z91" i="11"/>
  <c r="V91" i="11"/>
  <c r="N91" i="11"/>
  <c r="M91" i="11"/>
  <c r="L91" i="11"/>
  <c r="K91" i="11"/>
  <c r="J91" i="11"/>
  <c r="I91" i="11"/>
  <c r="H91" i="11"/>
  <c r="G91" i="11"/>
  <c r="F91" i="11"/>
  <c r="C91" i="11"/>
  <c r="AA90" i="11"/>
  <c r="Z90" i="11"/>
  <c r="V90" i="11"/>
  <c r="N90" i="11"/>
  <c r="M90" i="11"/>
  <c r="L90" i="11"/>
  <c r="K90" i="11"/>
  <c r="J90" i="11"/>
  <c r="I90" i="11"/>
  <c r="H90" i="11"/>
  <c r="G90" i="11"/>
  <c r="F90" i="11"/>
  <c r="C90" i="11"/>
  <c r="AA89" i="11"/>
  <c r="Z89" i="11"/>
  <c r="V89" i="11"/>
  <c r="C89" i="11"/>
  <c r="B89" i="11"/>
  <c r="C88" i="11"/>
  <c r="C87" i="11"/>
  <c r="C86" i="11"/>
  <c r="M80" i="11"/>
  <c r="J80" i="11"/>
  <c r="N78" i="11"/>
  <c r="M78" i="11"/>
  <c r="L78" i="11"/>
  <c r="K78" i="11"/>
  <c r="J78" i="11"/>
  <c r="H78" i="11"/>
  <c r="G78" i="11"/>
  <c r="C78" i="11"/>
  <c r="N77" i="11"/>
  <c r="M77" i="11"/>
  <c r="L77" i="11"/>
  <c r="K77" i="11"/>
  <c r="J77" i="11"/>
  <c r="H77" i="11"/>
  <c r="G77" i="11"/>
  <c r="C77" i="11"/>
  <c r="C76" i="11"/>
  <c r="C75" i="11"/>
  <c r="C74" i="11"/>
  <c r="C73" i="11"/>
  <c r="F72" i="11"/>
  <c r="C72" i="11"/>
  <c r="C71" i="11"/>
  <c r="C70" i="11"/>
  <c r="C69" i="11"/>
  <c r="M68" i="11"/>
  <c r="L68" i="11"/>
  <c r="K68" i="11"/>
  <c r="J68" i="11"/>
  <c r="H68" i="11"/>
  <c r="G68" i="11"/>
  <c r="F68" i="11"/>
  <c r="M67" i="11"/>
  <c r="L67" i="11"/>
  <c r="K67" i="11"/>
  <c r="J67" i="11"/>
  <c r="I67" i="11"/>
  <c r="H67" i="11"/>
  <c r="G67" i="11"/>
  <c r="C67" i="11"/>
  <c r="N66" i="11"/>
  <c r="M66" i="11"/>
  <c r="L66" i="11"/>
  <c r="K66" i="11"/>
  <c r="J66" i="11"/>
  <c r="I66" i="11"/>
  <c r="H66" i="11"/>
  <c r="G66" i="11"/>
  <c r="C66" i="11"/>
  <c r="N65" i="11"/>
  <c r="M65" i="11"/>
  <c r="L65" i="11"/>
  <c r="K65" i="11"/>
  <c r="J65" i="11"/>
  <c r="I65" i="11"/>
  <c r="H65" i="11"/>
  <c r="G65" i="11"/>
  <c r="C65" i="11"/>
  <c r="N64" i="11"/>
  <c r="M64" i="11"/>
  <c r="L64" i="11"/>
  <c r="K64" i="11"/>
  <c r="J64" i="11"/>
  <c r="I64" i="11"/>
  <c r="H64" i="11"/>
  <c r="G64" i="11"/>
  <c r="C64" i="11"/>
  <c r="N63" i="11"/>
  <c r="M63" i="11"/>
  <c r="L63" i="11"/>
  <c r="K63" i="11"/>
  <c r="J63" i="11"/>
  <c r="I63" i="11"/>
  <c r="H63" i="11"/>
  <c r="G63" i="11"/>
  <c r="C63" i="11"/>
  <c r="N62" i="11"/>
  <c r="M62" i="11"/>
  <c r="L62" i="11"/>
  <c r="K62" i="11"/>
  <c r="J62" i="11"/>
  <c r="I62" i="11"/>
  <c r="H62" i="11"/>
  <c r="G62" i="11"/>
  <c r="C62" i="11"/>
  <c r="C61" i="11"/>
  <c r="C60" i="11"/>
  <c r="M59" i="11"/>
  <c r="L59" i="11"/>
  <c r="K59" i="11"/>
  <c r="J59" i="11"/>
  <c r="I59" i="11"/>
  <c r="H59" i="11"/>
  <c r="C59" i="11"/>
  <c r="N58" i="11"/>
  <c r="L58" i="11"/>
  <c r="K58" i="11"/>
  <c r="J58" i="11"/>
  <c r="I58" i="11"/>
  <c r="H58" i="11"/>
  <c r="C58" i="11"/>
  <c r="N57" i="11"/>
  <c r="M57" i="11"/>
  <c r="L57" i="11"/>
  <c r="K57" i="11"/>
  <c r="J57" i="11"/>
  <c r="H57" i="11"/>
  <c r="G57" i="11"/>
  <c r="C57" i="11"/>
  <c r="AA56" i="11"/>
  <c r="V56" i="11"/>
  <c r="N56" i="11"/>
  <c r="M56" i="11"/>
  <c r="L56" i="11"/>
  <c r="K56" i="11"/>
  <c r="J56" i="11"/>
  <c r="H56" i="11"/>
  <c r="G56" i="11"/>
  <c r="C56" i="11"/>
  <c r="AA55" i="11"/>
  <c r="V55" i="11"/>
  <c r="N55" i="11"/>
  <c r="M55" i="11"/>
  <c r="L55" i="11"/>
  <c r="K55" i="11"/>
  <c r="J55" i="11"/>
  <c r="H55" i="11"/>
  <c r="G55" i="11"/>
  <c r="C55" i="11"/>
  <c r="AA54" i="11"/>
  <c r="V54" i="11"/>
  <c r="N54" i="11"/>
  <c r="M54" i="11"/>
  <c r="L54" i="11"/>
  <c r="K54" i="11"/>
  <c r="J54" i="11"/>
  <c r="H54" i="11"/>
  <c r="G54" i="11"/>
  <c r="C54" i="11"/>
  <c r="AA53" i="11"/>
  <c r="V53" i="11"/>
  <c r="C53" i="11"/>
  <c r="B53" i="11"/>
  <c r="C52" i="11"/>
  <c r="C51" i="11"/>
  <c r="C50" i="11"/>
  <c r="N42" i="11"/>
  <c r="M42" i="11"/>
  <c r="L42" i="11"/>
  <c r="K42" i="11"/>
  <c r="J42" i="11"/>
  <c r="I42" i="11"/>
  <c r="H42" i="11"/>
  <c r="G42" i="11"/>
  <c r="F42" i="11"/>
  <c r="C42" i="11"/>
  <c r="N41" i="11"/>
  <c r="M41" i="11"/>
  <c r="L41" i="11"/>
  <c r="K41" i="11"/>
  <c r="J41" i="11"/>
  <c r="I41" i="11"/>
  <c r="H41" i="11"/>
  <c r="G41" i="11"/>
  <c r="F41" i="11"/>
  <c r="C41" i="11"/>
  <c r="C36" i="11"/>
  <c r="C35" i="11"/>
  <c r="C34" i="11"/>
  <c r="C33" i="11"/>
  <c r="C32" i="11"/>
  <c r="L31" i="11"/>
  <c r="K31" i="11"/>
  <c r="J31" i="11"/>
  <c r="H31" i="11"/>
  <c r="G31" i="11"/>
  <c r="C31" i="11"/>
  <c r="L30" i="11"/>
  <c r="K30" i="11"/>
  <c r="J30" i="11"/>
  <c r="H30" i="11"/>
  <c r="G30" i="11"/>
  <c r="C30" i="11"/>
  <c r="L29" i="11"/>
  <c r="K29" i="11"/>
  <c r="J29" i="11"/>
  <c r="H29" i="11"/>
  <c r="G29" i="11"/>
  <c r="C29" i="11"/>
  <c r="M28" i="11"/>
  <c r="M43" i="11" s="1"/>
  <c r="L28" i="11"/>
  <c r="K28" i="11"/>
  <c r="J28" i="11"/>
  <c r="H28" i="11"/>
  <c r="H43" i="11" s="1"/>
  <c r="G28" i="11"/>
  <c r="F28" i="11"/>
  <c r="M27" i="11"/>
  <c r="L27" i="11"/>
  <c r="K27" i="11"/>
  <c r="J27" i="11"/>
  <c r="I27" i="11"/>
  <c r="H27" i="11"/>
  <c r="G27" i="11"/>
  <c r="C27" i="11"/>
  <c r="AH26" i="11"/>
  <c r="AG26" i="11"/>
  <c r="AF26" i="11"/>
  <c r="AE26" i="11"/>
  <c r="AD26" i="11"/>
  <c r="AC26" i="11"/>
  <c r="AB26" i="11"/>
  <c r="AA26" i="11"/>
  <c r="N26" i="11"/>
  <c r="M26" i="11"/>
  <c r="L26" i="11"/>
  <c r="K26" i="11"/>
  <c r="J26" i="11"/>
  <c r="I26" i="11"/>
  <c r="H26" i="11"/>
  <c r="G26" i="11"/>
  <c r="C26" i="11"/>
  <c r="AH25" i="11"/>
  <c r="AG25" i="11"/>
  <c r="AF25" i="11"/>
  <c r="AE25" i="11"/>
  <c r="AD25" i="11"/>
  <c r="AC25" i="11"/>
  <c r="AB25" i="11"/>
  <c r="AA25" i="11"/>
  <c r="N25" i="11"/>
  <c r="M25" i="11"/>
  <c r="L25" i="11"/>
  <c r="K25" i="11"/>
  <c r="J25" i="11"/>
  <c r="I25" i="11"/>
  <c r="H25" i="11"/>
  <c r="G25" i="11"/>
  <c r="C25" i="11"/>
  <c r="AH24" i="11"/>
  <c r="AG24" i="11"/>
  <c r="AF24" i="11"/>
  <c r="AE24" i="11"/>
  <c r="AD24" i="11"/>
  <c r="AC24" i="11"/>
  <c r="AB24" i="11"/>
  <c r="AA24" i="11"/>
  <c r="N24" i="11"/>
  <c r="M24" i="11"/>
  <c r="L24" i="11"/>
  <c r="K24" i="11"/>
  <c r="J24" i="11"/>
  <c r="I24" i="11"/>
  <c r="H24" i="11"/>
  <c r="G24" i="11"/>
  <c r="C24" i="11"/>
  <c r="AH23" i="11"/>
  <c r="AG23" i="11"/>
  <c r="AF23" i="11"/>
  <c r="AE23" i="11"/>
  <c r="AD23" i="11"/>
  <c r="AC23" i="11"/>
  <c r="AB23" i="11"/>
  <c r="AA23" i="11"/>
  <c r="N23" i="11"/>
  <c r="M23" i="11"/>
  <c r="L23" i="11"/>
  <c r="K23" i="11"/>
  <c r="J23" i="11"/>
  <c r="I23" i="11"/>
  <c r="H23" i="11"/>
  <c r="G23" i="11"/>
  <c r="C23" i="11"/>
  <c r="AH22" i="11"/>
  <c r="AG22" i="11"/>
  <c r="AF22" i="11"/>
  <c r="AE22" i="11"/>
  <c r="AD22" i="11"/>
  <c r="AC22" i="11"/>
  <c r="AB22" i="11"/>
  <c r="AA22" i="11"/>
  <c r="N22" i="11"/>
  <c r="M22" i="11"/>
  <c r="L22" i="11"/>
  <c r="K22" i="11"/>
  <c r="J22" i="11"/>
  <c r="I22" i="11"/>
  <c r="H22" i="11"/>
  <c r="G22" i="11"/>
  <c r="C22" i="11"/>
  <c r="C21" i="11"/>
  <c r="N20" i="11"/>
  <c r="L20" i="11"/>
  <c r="K20" i="11"/>
  <c r="J20" i="11"/>
  <c r="H20" i="11"/>
  <c r="C20" i="11"/>
  <c r="L19" i="11"/>
  <c r="K19" i="11"/>
  <c r="J19" i="11"/>
  <c r="H19" i="11"/>
  <c r="C19" i="11"/>
  <c r="N18" i="11"/>
  <c r="L18" i="11"/>
  <c r="K18" i="11"/>
  <c r="J18" i="11"/>
  <c r="I18" i="11"/>
  <c r="H18" i="11"/>
  <c r="C18" i="11"/>
  <c r="N17" i="11"/>
  <c r="M17" i="11"/>
  <c r="L17" i="11"/>
  <c r="K17" i="11"/>
  <c r="J17" i="11"/>
  <c r="I17" i="11"/>
  <c r="H17" i="11"/>
  <c r="G17" i="11"/>
  <c r="F17" i="11"/>
  <c r="C17" i="11"/>
  <c r="AA16" i="11"/>
  <c r="Z16" i="11"/>
  <c r="V16" i="11"/>
  <c r="N16" i="11"/>
  <c r="M16" i="11"/>
  <c r="L16" i="11"/>
  <c r="K16" i="11"/>
  <c r="J16" i="11"/>
  <c r="I16" i="11"/>
  <c r="H16" i="11"/>
  <c r="G16" i="11"/>
  <c r="F16" i="11"/>
  <c r="C16" i="11"/>
  <c r="AA15" i="11"/>
  <c r="Z15" i="11"/>
  <c r="V15" i="11"/>
  <c r="U15" i="11"/>
  <c r="N15" i="11"/>
  <c r="M15" i="11"/>
  <c r="L15" i="11"/>
  <c r="K15" i="11"/>
  <c r="J15" i="11"/>
  <c r="I15" i="11"/>
  <c r="H15" i="11"/>
  <c r="G15" i="11"/>
  <c r="F15" i="11"/>
  <c r="C15" i="11"/>
  <c r="AA14" i="11"/>
  <c r="Z14" i="11"/>
  <c r="V14" i="11"/>
  <c r="U14" i="11"/>
  <c r="N14" i="11"/>
  <c r="M14" i="11"/>
  <c r="L14" i="11"/>
  <c r="K14" i="11"/>
  <c r="J14" i="11"/>
  <c r="I14" i="11"/>
  <c r="H14" i="11"/>
  <c r="G14" i="11"/>
  <c r="F14" i="11"/>
  <c r="C14" i="11"/>
  <c r="AA13" i="11"/>
  <c r="Z13" i="11"/>
  <c r="V13" i="11"/>
  <c r="U13" i="11"/>
  <c r="E13" i="11"/>
  <c r="C13" i="11"/>
  <c r="B13" i="11"/>
  <c r="C12" i="11"/>
  <c r="C11" i="11"/>
  <c r="C10" i="11"/>
  <c r="C8" i="11"/>
  <c r="C7" i="11"/>
  <c r="C6" i="11"/>
  <c r="C5" i="11"/>
  <c r="C4" i="11"/>
  <c r="C3" i="11"/>
  <c r="M651" i="11" s="1"/>
  <c r="C2" i="11"/>
  <c r="G1" i="11"/>
  <c r="C1" i="11"/>
  <c r="AC105" i="8"/>
  <c r="AA105" i="8"/>
  <c r="AT103" i="8"/>
  <c r="AS103" i="8"/>
  <c r="AR103" i="8"/>
  <c r="AQ103" i="8"/>
  <c r="AP103" i="8"/>
  <c r="AO103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T102" i="8"/>
  <c r="AS102" i="8"/>
  <c r="AR102" i="8"/>
  <c r="AQ102" i="8"/>
  <c r="AP102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T101" i="8"/>
  <c r="AS101" i="8"/>
  <c r="AR101" i="8"/>
  <c r="AQ101" i="8"/>
  <c r="AP101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S100" i="8"/>
  <c r="AR100" i="8"/>
  <c r="AQ100" i="8"/>
  <c r="AP100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T99" i="8"/>
  <c r="AS99" i="8"/>
  <c r="AR99" i="8"/>
  <c r="AQ99" i="8"/>
  <c r="AP99" i="8"/>
  <c r="AO99" i="8"/>
  <c r="AM99" i="8"/>
  <c r="AL99" i="8"/>
  <c r="AK99" i="8"/>
  <c r="AJ99" i="8"/>
  <c r="AI99" i="8"/>
  <c r="AH99" i="8"/>
  <c r="AG99" i="8"/>
  <c r="AE99" i="8"/>
  <c r="AD99" i="8"/>
  <c r="AC99" i="8"/>
  <c r="AT98" i="8"/>
  <c r="AS98" i="8"/>
  <c r="AR98" i="8"/>
  <c r="AQ98" i="8"/>
  <c r="AP98" i="8"/>
  <c r="AO98" i="8"/>
  <c r="AM98" i="8"/>
  <c r="AL98" i="8"/>
  <c r="AK98" i="8"/>
  <c r="AJ98" i="8"/>
  <c r="AI98" i="8"/>
  <c r="AH98" i="8"/>
  <c r="AG98" i="8"/>
  <c r="AE98" i="8"/>
  <c r="AD98" i="8"/>
  <c r="AC98" i="8"/>
  <c r="AT97" i="8"/>
  <c r="AS97" i="8"/>
  <c r="AR97" i="8"/>
  <c r="AQ97" i="8"/>
  <c r="AP97" i="8"/>
  <c r="AO97" i="8"/>
  <c r="AN97" i="8"/>
  <c r="AM97" i="8"/>
  <c r="AL97" i="8"/>
  <c r="AK97" i="8"/>
  <c r="AJ97" i="8"/>
  <c r="AI97" i="8"/>
  <c r="AH97" i="8"/>
  <c r="AG97" i="8"/>
  <c r="AF97" i="8"/>
  <c r="AE97" i="8"/>
  <c r="AD97" i="8"/>
  <c r="AC97" i="8"/>
  <c r="AT96" i="8"/>
  <c r="AS96" i="8"/>
  <c r="AR96" i="8"/>
  <c r="AQ96" i="8"/>
  <c r="AP96" i="8"/>
  <c r="AO96" i="8"/>
  <c r="AN96" i="8"/>
  <c r="AM96" i="8"/>
  <c r="AL96" i="8"/>
  <c r="AK96" i="8"/>
  <c r="AJ96" i="8"/>
  <c r="AI96" i="8"/>
  <c r="AH96" i="8"/>
  <c r="AG96" i="8"/>
  <c r="AF96" i="8"/>
  <c r="AE96" i="8"/>
  <c r="AD96" i="8"/>
  <c r="AC96" i="8"/>
  <c r="AS95" i="8"/>
  <c r="AR95" i="8"/>
  <c r="AQ95" i="8"/>
  <c r="AP95" i="8"/>
  <c r="AO95" i="8"/>
  <c r="AN95" i="8"/>
  <c r="AM95" i="8"/>
  <c r="AL95" i="8"/>
  <c r="AK95" i="8"/>
  <c r="AJ95" i="8"/>
  <c r="AI95" i="8"/>
  <c r="AH95" i="8"/>
  <c r="AG95" i="8"/>
  <c r="AF95" i="8"/>
  <c r="AE95" i="8"/>
  <c r="AD95" i="8"/>
  <c r="AC95" i="8"/>
  <c r="AT94" i="8"/>
  <c r="AS94" i="8"/>
  <c r="AR94" i="8"/>
  <c r="AQ94" i="8"/>
  <c r="AP94" i="8"/>
  <c r="AO94" i="8"/>
  <c r="AN94" i="8"/>
  <c r="AM94" i="8"/>
  <c r="AL94" i="8"/>
  <c r="AK94" i="8"/>
  <c r="AJ94" i="8"/>
  <c r="AI94" i="8"/>
  <c r="AH94" i="8"/>
  <c r="AG94" i="8"/>
  <c r="AF94" i="8"/>
  <c r="AE94" i="8"/>
  <c r="AD94" i="8"/>
  <c r="AC94" i="8"/>
  <c r="AT93" i="8"/>
  <c r="AS93" i="8"/>
  <c r="AR93" i="8"/>
  <c r="AQ93" i="8"/>
  <c r="AP93" i="8"/>
  <c r="AO93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T92" i="8"/>
  <c r="AS92" i="8"/>
  <c r="AR92" i="8"/>
  <c r="AQ92" i="8"/>
  <c r="AP92" i="8"/>
  <c r="AO92" i="8"/>
  <c r="AN92" i="8"/>
  <c r="AM92" i="8"/>
  <c r="AL92" i="8"/>
  <c r="AK92" i="8"/>
  <c r="AJ92" i="8"/>
  <c r="AI92" i="8"/>
  <c r="AH92" i="8"/>
  <c r="AG92" i="8"/>
  <c r="AF92" i="8"/>
  <c r="AE92" i="8"/>
  <c r="AD92" i="8"/>
  <c r="AC92" i="8"/>
  <c r="AT91" i="8"/>
  <c r="AS91" i="8"/>
  <c r="AR91" i="8"/>
  <c r="AQ91" i="8"/>
  <c r="AP91" i="8"/>
  <c r="AO91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T90" i="8"/>
  <c r="AS90" i="8"/>
  <c r="AR90" i="8"/>
  <c r="AQ90" i="8"/>
  <c r="AP90" i="8"/>
  <c r="AO90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T89" i="8"/>
  <c r="AS89" i="8"/>
  <c r="AR89" i="8"/>
  <c r="AQ89" i="8"/>
  <c r="AP89" i="8"/>
  <c r="AO89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T88" i="8"/>
  <c r="AS88" i="8"/>
  <c r="AR88" i="8"/>
  <c r="AQ88" i="8"/>
  <c r="AP88" i="8"/>
  <c r="AO88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T87" i="8"/>
  <c r="AS87" i="8"/>
  <c r="AR87" i="8"/>
  <c r="AQ87" i="8"/>
  <c r="AP87" i="8"/>
  <c r="AO87" i="8"/>
  <c r="AN87" i="8"/>
  <c r="AM87" i="8"/>
  <c r="AL87" i="8"/>
  <c r="AK87" i="8"/>
  <c r="AJ87" i="8"/>
  <c r="AI87" i="8"/>
  <c r="AH87" i="8"/>
  <c r="AE87" i="8"/>
  <c r="AD87" i="8"/>
  <c r="AC87" i="8"/>
  <c r="AT86" i="8"/>
  <c r="AS86" i="8"/>
  <c r="AR86" i="8"/>
  <c r="AQ86" i="8"/>
  <c r="AP86" i="8"/>
  <c r="AO86" i="8"/>
  <c r="AN86" i="8"/>
  <c r="AM86" i="8"/>
  <c r="AL86" i="8"/>
  <c r="AK86" i="8"/>
  <c r="AJ86" i="8"/>
  <c r="AI86" i="8"/>
  <c r="AH86" i="8"/>
  <c r="AF86" i="8"/>
  <c r="AE86" i="8"/>
  <c r="AD86" i="8"/>
  <c r="AC86" i="8"/>
  <c r="AT85" i="8"/>
  <c r="AS85" i="8"/>
  <c r="AR85" i="8"/>
  <c r="AQ85" i="8"/>
  <c r="AP85" i="8"/>
  <c r="AO85" i="8"/>
  <c r="AN85" i="8"/>
  <c r="AM85" i="8"/>
  <c r="AL85" i="8"/>
  <c r="AK85" i="8"/>
  <c r="AJ85" i="8"/>
  <c r="AI85" i="8"/>
  <c r="AH85" i="8"/>
  <c r="AG85" i="8"/>
  <c r="AF85" i="8"/>
  <c r="AE85" i="8"/>
  <c r="AD85" i="8"/>
  <c r="AC85" i="8"/>
  <c r="AT84" i="8"/>
  <c r="AS84" i="8"/>
  <c r="AR84" i="8"/>
  <c r="AQ84" i="8"/>
  <c r="AP84" i="8"/>
  <c r="AO84" i="8"/>
  <c r="AN84" i="8"/>
  <c r="AM84" i="8"/>
  <c r="AL84" i="8"/>
  <c r="AK84" i="8"/>
  <c r="AJ84" i="8"/>
  <c r="AI84" i="8"/>
  <c r="AH84" i="8"/>
  <c r="AG84" i="8"/>
  <c r="AF84" i="8"/>
  <c r="AE84" i="8"/>
  <c r="AD84" i="8"/>
  <c r="AC84" i="8"/>
  <c r="AT83" i="8"/>
  <c r="AS83" i="8"/>
  <c r="AR83" i="8"/>
  <c r="AQ83" i="8"/>
  <c r="AP83" i="8"/>
  <c r="AO83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T82" i="8"/>
  <c r="AS82" i="8"/>
  <c r="AR82" i="8"/>
  <c r="AQ82" i="8"/>
  <c r="AP82" i="8"/>
  <c r="AO82" i="8"/>
  <c r="AN82" i="8"/>
  <c r="AM82" i="8"/>
  <c r="AL82" i="8"/>
  <c r="AK82" i="8"/>
  <c r="AJ82" i="8"/>
  <c r="AI82" i="8"/>
  <c r="AH82" i="8"/>
  <c r="AG82" i="8"/>
  <c r="AF82" i="8"/>
  <c r="AE82" i="8"/>
  <c r="AD82" i="8"/>
  <c r="AC82" i="8"/>
  <c r="AT81" i="8"/>
  <c r="AS81" i="8"/>
  <c r="AR81" i="8"/>
  <c r="AQ81" i="8"/>
  <c r="AP81" i="8"/>
  <c r="AO81" i="8"/>
  <c r="AN81" i="8"/>
  <c r="AM81" i="8"/>
  <c r="AL81" i="8"/>
  <c r="AK81" i="8"/>
  <c r="AJ81" i="8"/>
  <c r="AI81" i="8"/>
  <c r="AH81" i="8"/>
  <c r="AG81" i="8"/>
  <c r="AF81" i="8"/>
  <c r="AE81" i="8"/>
  <c r="AD81" i="8"/>
  <c r="AC81" i="8"/>
  <c r="AT80" i="8"/>
  <c r="AS80" i="8"/>
  <c r="AR80" i="8"/>
  <c r="AQ80" i="8"/>
  <c r="AP80" i="8"/>
  <c r="AO80" i="8"/>
  <c r="AN80" i="8"/>
  <c r="AM80" i="8"/>
  <c r="AL80" i="8"/>
  <c r="AK80" i="8"/>
  <c r="AJ80" i="8"/>
  <c r="AI80" i="8"/>
  <c r="AH80" i="8"/>
  <c r="AG80" i="8"/>
  <c r="AF80" i="8"/>
  <c r="AE80" i="8"/>
  <c r="AD80" i="8"/>
  <c r="AC80" i="8"/>
  <c r="AT79" i="8"/>
  <c r="AS79" i="8"/>
  <c r="AR79" i="8"/>
  <c r="AQ79" i="8"/>
  <c r="AP79" i="8"/>
  <c r="AO79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T78" i="8"/>
  <c r="AS78" i="8"/>
  <c r="AR78" i="8"/>
  <c r="AQ78" i="8"/>
  <c r="AP78" i="8"/>
  <c r="AO78" i="8"/>
  <c r="AN78" i="8"/>
  <c r="AM78" i="8"/>
  <c r="AL78" i="8"/>
  <c r="AK78" i="8"/>
  <c r="AJ78" i="8"/>
  <c r="AI78" i="8"/>
  <c r="AH78" i="8"/>
  <c r="AG78" i="8"/>
  <c r="AF78" i="8"/>
  <c r="AE78" i="8"/>
  <c r="AD78" i="8"/>
  <c r="AC78" i="8"/>
  <c r="AT77" i="8"/>
  <c r="AS77" i="8"/>
  <c r="AR77" i="8"/>
  <c r="AQ77" i="8"/>
  <c r="AP77" i="8"/>
  <c r="AO77" i="8"/>
  <c r="AN77" i="8"/>
  <c r="AM77" i="8"/>
  <c r="AL77" i="8"/>
  <c r="AK77" i="8"/>
  <c r="AJ77" i="8"/>
  <c r="AI77" i="8"/>
  <c r="AH77" i="8"/>
  <c r="AG77" i="8"/>
  <c r="AF77" i="8"/>
  <c r="AE77" i="8"/>
  <c r="AD77" i="8"/>
  <c r="AC77" i="8"/>
  <c r="AT76" i="8"/>
  <c r="AS76" i="8"/>
  <c r="AR76" i="8"/>
  <c r="AQ76" i="8"/>
  <c r="AP76" i="8"/>
  <c r="AO76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T75" i="8"/>
  <c r="AS75" i="8"/>
  <c r="AR75" i="8"/>
  <c r="AQ75" i="8"/>
  <c r="AP75" i="8"/>
  <c r="AO75" i="8"/>
  <c r="AN75" i="8"/>
  <c r="AM75" i="8"/>
  <c r="AL75" i="8"/>
  <c r="AK75" i="8"/>
  <c r="AJ75" i="8"/>
  <c r="AI75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D40" i="8"/>
  <c r="C40" i="8"/>
  <c r="B40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F38" i="8"/>
  <c r="E38" i="8"/>
  <c r="D38" i="8"/>
  <c r="C38" i="8"/>
  <c r="B38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C37" i="8"/>
  <c r="B37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L32" i="8"/>
  <c r="J32" i="8"/>
  <c r="F32" i="8"/>
  <c r="D32" i="8"/>
  <c r="R31" i="8"/>
  <c r="G31" i="8"/>
  <c r="R30" i="8"/>
  <c r="G30" i="8"/>
  <c r="F30" i="8"/>
  <c r="T29" i="8"/>
  <c r="I637" i="11" s="1"/>
  <c r="C637" i="11" s="1"/>
  <c r="S29" i="8"/>
  <c r="I608" i="11" s="1"/>
  <c r="R29" i="8"/>
  <c r="I572" i="11" s="1"/>
  <c r="C572" i="11" s="1"/>
  <c r="Q29" i="8"/>
  <c r="I536" i="11" s="1"/>
  <c r="C536" i="11" s="1"/>
  <c r="P29" i="8"/>
  <c r="O29" i="8"/>
  <c r="I464" i="11" s="1"/>
  <c r="C464" i="11" s="1"/>
  <c r="N29" i="8"/>
  <c r="I428" i="11" s="1"/>
  <c r="C428" i="11" s="1"/>
  <c r="M29" i="8"/>
  <c r="I392" i="11" s="1"/>
  <c r="C392" i="11" s="1"/>
  <c r="L29" i="8"/>
  <c r="I356" i="11" s="1"/>
  <c r="C356" i="11" s="1"/>
  <c r="K29" i="8"/>
  <c r="I320" i="11" s="1"/>
  <c r="C320" i="11" s="1"/>
  <c r="J29" i="8"/>
  <c r="I284" i="11" s="1"/>
  <c r="C284" i="11" s="1"/>
  <c r="I29" i="8"/>
  <c r="I248" i="11" s="1"/>
  <c r="C248" i="11" s="1"/>
  <c r="H29" i="8"/>
  <c r="I212" i="11" s="1"/>
  <c r="C212" i="11" s="1"/>
  <c r="G29" i="8"/>
  <c r="I28" i="11" s="1"/>
  <c r="C28" i="11" s="1"/>
  <c r="F29" i="8"/>
  <c r="I176" i="11" s="1"/>
  <c r="C176" i="11" s="1"/>
  <c r="E29" i="8"/>
  <c r="I140" i="11" s="1"/>
  <c r="C140" i="11" s="1"/>
  <c r="D29" i="8"/>
  <c r="I104" i="11" s="1"/>
  <c r="C104" i="11" s="1"/>
  <c r="C29" i="8"/>
  <c r="I68" i="11" s="1"/>
  <c r="C68" i="11" s="1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P22" i="8"/>
  <c r="H22" i="8"/>
  <c r="F22" i="8"/>
  <c r="T21" i="8"/>
  <c r="R21" i="8"/>
  <c r="Q21" i="8"/>
  <c r="P21" i="8"/>
  <c r="O21" i="8"/>
  <c r="N21" i="8"/>
  <c r="M21" i="8"/>
  <c r="L21" i="8"/>
  <c r="K21" i="8"/>
  <c r="J21" i="8"/>
  <c r="I21" i="8"/>
  <c r="H21" i="8"/>
  <c r="E21" i="8"/>
  <c r="C21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S18" i="8"/>
  <c r="R18" i="8"/>
  <c r="Q18" i="8"/>
  <c r="Q41" i="8" s="1"/>
  <c r="P18" i="8"/>
  <c r="O18" i="8"/>
  <c r="N18" i="8"/>
  <c r="M18" i="8"/>
  <c r="M41" i="8" s="1"/>
  <c r="L18" i="8"/>
  <c r="K18" i="8"/>
  <c r="J18" i="8"/>
  <c r="I18" i="8"/>
  <c r="I41" i="8" s="1"/>
  <c r="H18" i="8"/>
  <c r="G18" i="8"/>
  <c r="F18" i="8"/>
  <c r="E18" i="8"/>
  <c r="D18" i="8"/>
  <c r="C18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H5" i="8"/>
  <c r="I619" i="11" l="1"/>
  <c r="C619" i="11" s="1"/>
  <c r="AS104" i="8" s="1"/>
  <c r="S53" i="8" s="1"/>
  <c r="C608" i="11"/>
  <c r="F655" i="11"/>
  <c r="M655" i="11"/>
  <c r="J655" i="11"/>
  <c r="J79" i="11"/>
  <c r="L187" i="11"/>
  <c r="G141" i="11"/>
  <c r="G151" i="11" s="1"/>
  <c r="R41" i="8"/>
  <c r="G41" i="8"/>
  <c r="K41" i="8"/>
  <c r="O41" i="8"/>
  <c r="O48" i="8" s="1"/>
  <c r="O49" i="8" s="1"/>
  <c r="O51" i="8" s="1"/>
  <c r="S41" i="8"/>
  <c r="I43" i="11"/>
  <c r="C43" i="11" s="1"/>
  <c r="AC104" i="8" s="1"/>
  <c r="G53" i="8" s="1"/>
  <c r="F80" i="11"/>
  <c r="F79" i="11" s="1"/>
  <c r="N80" i="11"/>
  <c r="N79" i="11" s="1"/>
  <c r="G116" i="11"/>
  <c r="F117" i="11"/>
  <c r="N117" i="11"/>
  <c r="H141" i="11"/>
  <c r="H151" i="11" s="1"/>
  <c r="H168" i="11"/>
  <c r="F169" i="11"/>
  <c r="G169" i="11" s="1"/>
  <c r="H169" i="11" s="1"/>
  <c r="J223" i="11"/>
  <c r="K259" i="11"/>
  <c r="H295" i="11"/>
  <c r="L331" i="11"/>
  <c r="K403" i="11"/>
  <c r="F433" i="11"/>
  <c r="G433" i="11" s="1"/>
  <c r="H433" i="11" s="1"/>
  <c r="H439" i="11" s="1"/>
  <c r="K511" i="11"/>
  <c r="F583" i="11"/>
  <c r="M619" i="11"/>
  <c r="N651" i="11"/>
  <c r="N655" i="11" s="1"/>
  <c r="J41" i="8"/>
  <c r="C41" i="8"/>
  <c r="C48" i="8" s="1"/>
  <c r="C49" i="8" s="1"/>
  <c r="C51" i="8" s="1"/>
  <c r="D41" i="8"/>
  <c r="D48" i="8" s="1"/>
  <c r="D49" i="8" s="1"/>
  <c r="D51" i="8" s="1"/>
  <c r="H41" i="8"/>
  <c r="H48" i="8" s="1"/>
  <c r="H49" i="8" s="1"/>
  <c r="H51" i="8" s="1"/>
  <c r="L41" i="8"/>
  <c r="P41" i="8"/>
  <c r="L43" i="11"/>
  <c r="I80" i="11"/>
  <c r="H116" i="11"/>
  <c r="G117" i="11"/>
  <c r="K168" i="11"/>
  <c r="K187" i="11" s="1"/>
  <c r="K223" i="11"/>
  <c r="F259" i="11"/>
  <c r="N259" i="11"/>
  <c r="K295" i="11"/>
  <c r="G331" i="11"/>
  <c r="I475" i="11"/>
  <c r="C475" i="11" s="1"/>
  <c r="AO104" i="8" s="1"/>
  <c r="O53" i="8" s="1"/>
  <c r="J583" i="11"/>
  <c r="I48" i="8"/>
  <c r="I49" i="8" s="1"/>
  <c r="I51" i="8" s="1"/>
  <c r="J48" i="8"/>
  <c r="J49" i="8" s="1"/>
  <c r="J51" i="8" s="1"/>
  <c r="R48" i="8"/>
  <c r="R49" i="8" s="1"/>
  <c r="R51" i="8" s="1"/>
  <c r="M48" i="8"/>
  <c r="M49" i="8" s="1"/>
  <c r="M51" i="8" s="1"/>
  <c r="Q48" i="8"/>
  <c r="Q49" i="8" s="1"/>
  <c r="Q51" i="8" s="1"/>
  <c r="G48" i="8"/>
  <c r="G49" i="8" s="1"/>
  <c r="G51" i="8" s="1"/>
  <c r="K48" i="8"/>
  <c r="K49" i="8" s="1"/>
  <c r="K51" i="8" s="1"/>
  <c r="S48" i="8"/>
  <c r="S49" i="8" s="1"/>
  <c r="S51" i="8" s="1"/>
  <c r="L48" i="8"/>
  <c r="L49" i="8" s="1"/>
  <c r="L51" i="8" s="1"/>
  <c r="P48" i="8"/>
  <c r="P49" i="8" s="1"/>
  <c r="P51" i="8" s="1"/>
  <c r="I367" i="11"/>
  <c r="C367" i="11" s="1"/>
  <c r="AL104" i="8" s="1"/>
  <c r="L53" i="8" s="1"/>
  <c r="M367" i="11"/>
  <c r="H403" i="11"/>
  <c r="L403" i="11"/>
  <c r="I434" i="11"/>
  <c r="F475" i="11"/>
  <c r="J475" i="11"/>
  <c r="N475" i="11"/>
  <c r="H511" i="11"/>
  <c r="L511" i="11"/>
  <c r="I547" i="11"/>
  <c r="C547" i="11" s="1"/>
  <c r="AQ104" i="8" s="1"/>
  <c r="Q53" i="8" s="1"/>
  <c r="M547" i="11"/>
  <c r="G583" i="11"/>
  <c r="K583" i="11"/>
  <c r="F619" i="11"/>
  <c r="J619" i="11"/>
  <c r="N619" i="11"/>
  <c r="G651" i="11"/>
  <c r="G655" i="11" s="1"/>
  <c r="K651" i="11"/>
  <c r="K655" i="11" s="1"/>
  <c r="F43" i="11"/>
  <c r="J43" i="11"/>
  <c r="N43" i="11"/>
  <c r="G80" i="11"/>
  <c r="G79" i="11" s="1"/>
  <c r="K80" i="11"/>
  <c r="K79" i="11" s="1"/>
  <c r="N115" i="11"/>
  <c r="I116" i="11"/>
  <c r="M116" i="11"/>
  <c r="H117" i="11"/>
  <c r="H115" i="11" s="1"/>
  <c r="L117" i="11"/>
  <c r="L115" i="11" s="1"/>
  <c r="I141" i="11"/>
  <c r="I151" i="11" s="1"/>
  <c r="C151" i="11" s="1"/>
  <c r="AF104" i="8" s="1"/>
  <c r="E53" i="8" s="1"/>
  <c r="I168" i="11"/>
  <c r="M168" i="11"/>
  <c r="M187" i="11" s="1"/>
  <c r="H223" i="11"/>
  <c r="L223" i="11"/>
  <c r="H259" i="11"/>
  <c r="L259" i="11"/>
  <c r="I295" i="11"/>
  <c r="C295" i="11" s="1"/>
  <c r="AJ104" i="8" s="1"/>
  <c r="J53" i="8" s="1"/>
  <c r="J61" i="8" s="1"/>
  <c r="J60" i="8" s="1"/>
  <c r="M295" i="11"/>
  <c r="I331" i="11"/>
  <c r="C331" i="11" s="1"/>
  <c r="AK104" i="8" s="1"/>
  <c r="K53" i="8" s="1"/>
  <c r="M331" i="11"/>
  <c r="F367" i="11"/>
  <c r="J367" i="11"/>
  <c r="N367" i="11"/>
  <c r="I403" i="11"/>
  <c r="C403" i="11" s="1"/>
  <c r="AM104" i="8" s="1"/>
  <c r="M53" i="8" s="1"/>
  <c r="M403" i="11"/>
  <c r="F434" i="11"/>
  <c r="G434" i="11" s="1"/>
  <c r="H434" i="11" s="1"/>
  <c r="F439" i="11"/>
  <c r="G475" i="11"/>
  <c r="K475" i="11"/>
  <c r="I511" i="11"/>
  <c r="C511" i="11" s="1"/>
  <c r="AP104" i="8" s="1"/>
  <c r="P53" i="8" s="1"/>
  <c r="M511" i="11"/>
  <c r="F547" i="11"/>
  <c r="J547" i="11"/>
  <c r="N547" i="11"/>
  <c r="H583" i="11"/>
  <c r="L583" i="11"/>
  <c r="G619" i="11"/>
  <c r="K619" i="11"/>
  <c r="H651" i="11"/>
  <c r="H655" i="11" s="1"/>
  <c r="L651" i="11"/>
  <c r="L655" i="11" s="1"/>
  <c r="G43" i="11"/>
  <c r="K43" i="11"/>
  <c r="I79" i="11"/>
  <c r="C79" i="11" s="1"/>
  <c r="AD104" i="8" s="1"/>
  <c r="C53" i="8" s="1"/>
  <c r="M79" i="11"/>
  <c r="H80" i="11"/>
  <c r="H79" i="11" s="1"/>
  <c r="L80" i="11"/>
  <c r="L79" i="11" s="1"/>
  <c r="G115" i="11"/>
  <c r="K115" i="11"/>
  <c r="F116" i="11"/>
  <c r="F115" i="11" s="1"/>
  <c r="J116" i="11"/>
  <c r="J115" i="11" s="1"/>
  <c r="N116" i="11"/>
  <c r="I117" i="11"/>
  <c r="M117" i="11"/>
  <c r="F141" i="11"/>
  <c r="F151" i="11" s="1"/>
  <c r="C145" i="11"/>
  <c r="AF98" i="8" s="1"/>
  <c r="C146" i="11"/>
  <c r="AF99" i="8" s="1"/>
  <c r="E32" i="8" s="1"/>
  <c r="F168" i="11"/>
  <c r="F187" i="11" s="1"/>
  <c r="J168" i="11"/>
  <c r="J187" i="11" s="1"/>
  <c r="N168" i="11"/>
  <c r="N187" i="11" s="1"/>
  <c r="I223" i="11"/>
  <c r="C223" i="11" s="1"/>
  <c r="AH104" i="8" s="1"/>
  <c r="H53" i="8" s="1"/>
  <c r="M223" i="11"/>
  <c r="I259" i="11"/>
  <c r="C259" i="11" s="1"/>
  <c r="AI104" i="8" s="1"/>
  <c r="I53" i="8" s="1"/>
  <c r="I61" i="8" s="1"/>
  <c r="I60" i="8" s="1"/>
  <c r="M259" i="11"/>
  <c r="F295" i="11"/>
  <c r="J295" i="11"/>
  <c r="N295" i="11"/>
  <c r="F331" i="11"/>
  <c r="J331" i="11"/>
  <c r="N331" i="11"/>
  <c r="G367" i="11"/>
  <c r="K367" i="11"/>
  <c r="F403" i="11"/>
  <c r="J403" i="11"/>
  <c r="N403" i="11"/>
  <c r="I433" i="11"/>
  <c r="G439" i="11"/>
  <c r="H475" i="11"/>
  <c r="L475" i="11"/>
  <c r="F511" i="11"/>
  <c r="J511" i="11"/>
  <c r="N511" i="11"/>
  <c r="G547" i="11"/>
  <c r="K547" i="11"/>
  <c r="I583" i="11"/>
  <c r="C583" i="11" s="1"/>
  <c r="AR104" i="8" s="1"/>
  <c r="R53" i="8" s="1"/>
  <c r="M583" i="11"/>
  <c r="H619" i="11"/>
  <c r="L619" i="11"/>
  <c r="I651" i="11"/>
  <c r="J133" i="11"/>
  <c r="K133" i="11" s="1"/>
  <c r="L133" i="11" s="1"/>
  <c r="C133" i="11"/>
  <c r="AF87" i="8" s="1"/>
  <c r="E22" i="8" s="1"/>
  <c r="R61" i="8" l="1"/>
  <c r="R60" i="8" s="1"/>
  <c r="H61" i="8"/>
  <c r="H60" i="8" s="1"/>
  <c r="M61" i="8"/>
  <c r="M60" i="8" s="1"/>
  <c r="C61" i="8"/>
  <c r="C60" i="8" s="1"/>
  <c r="K141" i="11"/>
  <c r="K151" i="11" s="1"/>
  <c r="E61" i="8"/>
  <c r="E60" i="8" s="1"/>
  <c r="O61" i="8"/>
  <c r="O60" i="8" s="1"/>
  <c r="G61" i="8"/>
  <c r="G60" i="8" s="1"/>
  <c r="M133" i="11"/>
  <c r="L141" i="11"/>
  <c r="L151" i="11" s="1"/>
  <c r="J141" i="11"/>
  <c r="J151" i="11" s="1"/>
  <c r="E41" i="8"/>
  <c r="E48" i="8" s="1"/>
  <c r="E49" i="8" s="1"/>
  <c r="E51" i="8" s="1"/>
  <c r="P61" i="8"/>
  <c r="P60" i="8" s="1"/>
  <c r="H187" i="11"/>
  <c r="G187" i="11"/>
  <c r="C433" i="11"/>
  <c r="AN98" i="8" s="1"/>
  <c r="N32" i="8" s="1"/>
  <c r="N41" i="8" s="1"/>
  <c r="J433" i="11"/>
  <c r="K61" i="8"/>
  <c r="K60" i="8" s="1"/>
  <c r="I187" i="11"/>
  <c r="C187" i="11" s="1"/>
  <c r="AG104" i="8" s="1"/>
  <c r="F53" i="8" s="1"/>
  <c r="F61" i="8" s="1"/>
  <c r="F60" i="8" s="1"/>
  <c r="C168" i="11"/>
  <c r="AG86" i="8" s="1"/>
  <c r="F21" i="8" s="1"/>
  <c r="F41" i="8" s="1"/>
  <c r="I439" i="11"/>
  <c r="C439" i="11" s="1"/>
  <c r="AN104" i="8" s="1"/>
  <c r="N53" i="8" s="1"/>
  <c r="N61" i="8" s="1"/>
  <c r="N60" i="8" s="1"/>
  <c r="M115" i="11"/>
  <c r="Q61" i="8"/>
  <c r="Q60" i="8" s="1"/>
  <c r="J434" i="11"/>
  <c r="K434" i="11" s="1"/>
  <c r="L434" i="11" s="1"/>
  <c r="M434" i="11" s="1"/>
  <c r="N434" i="11" s="1"/>
  <c r="C434" i="11"/>
  <c r="AN99" i="8" s="1"/>
  <c r="L61" i="8"/>
  <c r="L60" i="8" s="1"/>
  <c r="C651" i="11"/>
  <c r="AT100" i="8" s="1"/>
  <c r="AT95" i="8"/>
  <c r="T18" i="8" s="1"/>
  <c r="T41" i="8" s="1"/>
  <c r="I655" i="11"/>
  <c r="C655" i="11" s="1"/>
  <c r="AT104" i="8" s="1"/>
  <c r="T53" i="8" s="1"/>
  <c r="T61" i="8" s="1"/>
  <c r="T60" i="8" s="1"/>
  <c r="I115" i="11"/>
  <c r="C115" i="11" s="1"/>
  <c r="AE104" i="8" s="1"/>
  <c r="D53" i="8" s="1"/>
  <c r="S61" i="8"/>
  <c r="S60" i="8" s="1"/>
  <c r="N133" i="11" l="1"/>
  <c r="N141" i="11" s="1"/>
  <c r="N151" i="11" s="1"/>
  <c r="M141" i="11"/>
  <c r="M151" i="11" s="1"/>
  <c r="D61" i="8"/>
  <c r="D60" i="8" s="1"/>
  <c r="V67" i="8"/>
  <c r="U68" i="8"/>
  <c r="U67" i="8"/>
  <c r="U53" i="8"/>
  <c r="V68" i="8"/>
  <c r="K433" i="11"/>
  <c r="J439" i="11"/>
  <c r="T48" i="8"/>
  <c r="T49" i="8" s="1"/>
  <c r="T51" i="8" s="1"/>
  <c r="F48" i="8"/>
  <c r="F49" i="8" s="1"/>
  <c r="F51" i="8" s="1"/>
  <c r="N48" i="8"/>
  <c r="N49" i="8" s="1"/>
  <c r="N51" i="8" s="1"/>
  <c r="W67" i="8" l="1"/>
  <c r="L433" i="11"/>
  <c r="K439" i="11"/>
  <c r="R65" i="8"/>
  <c r="R66" i="8" s="1"/>
  <c r="Q65" i="8"/>
  <c r="Q66" i="8" s="1"/>
  <c r="T65" i="8"/>
  <c r="T66" i="8" s="1"/>
  <c r="D65" i="8"/>
  <c r="D66" i="8" s="1"/>
  <c r="G65" i="8"/>
  <c r="G66" i="8" s="1"/>
  <c r="N65" i="8"/>
  <c r="N66" i="8" s="1"/>
  <c r="M65" i="8"/>
  <c r="M66" i="8" s="1"/>
  <c r="P65" i="8"/>
  <c r="P66" i="8" s="1"/>
  <c r="S65" i="8"/>
  <c r="S66" i="8" s="1"/>
  <c r="C65" i="8"/>
  <c r="C66" i="8" s="1"/>
  <c r="F65" i="8"/>
  <c r="F66" i="8" s="1"/>
  <c r="E65" i="8"/>
  <c r="E66" i="8" s="1"/>
  <c r="H65" i="8"/>
  <c r="H66" i="8" s="1"/>
  <c r="K65" i="8"/>
  <c r="K66" i="8" s="1"/>
  <c r="J65" i="8"/>
  <c r="J66" i="8" s="1"/>
  <c r="I65" i="8"/>
  <c r="I66" i="8" s="1"/>
  <c r="L65" i="8"/>
  <c r="L66" i="8" s="1"/>
  <c r="O65" i="8"/>
  <c r="O66" i="8" s="1"/>
  <c r="M433" i="11" l="1"/>
  <c r="L439" i="11"/>
  <c r="N433" i="11" l="1"/>
  <c r="N439" i="11" s="1"/>
  <c r="M43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</author>
  </authors>
  <commentList>
    <comment ref="C14" authorId="0" shapeId="0" xr:uid="{00000000-0006-0000-0000-000001000000}">
      <text>
        <r>
          <rPr>
            <b/>
            <sz val="8"/>
            <rFont val="Tahoma"/>
            <charset val="134"/>
          </rPr>
          <t>RETENCIÓN IRPF
Introducir el % de retención que te corresponda. En la web http://www.aeat.es, lo puedes calcular</t>
        </r>
        <r>
          <rPr>
            <sz val="8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<sst xmlns="http://schemas.openxmlformats.org/spreadsheetml/2006/main" count="2123" uniqueCount="358">
  <si>
    <t>Nómina mensual 2026</t>
  </si>
  <si>
    <t>El sindicato de la enseñanza pública</t>
  </si>
  <si>
    <t>Elaborado por Manuel Pérez García. Secretario de Acción Sindical de ANPE ANDALUCÍA</t>
  </si>
  <si>
    <t>Cuerpo Docente</t>
  </si>
  <si>
    <t>590-Profesores Enseñanza Secundaria</t>
  </si>
  <si>
    <t>Grupo prof:</t>
  </si>
  <si>
    <t>Funcionario</t>
  </si>
  <si>
    <t>Carrera</t>
  </si>
  <si>
    <t>Seleccionar en celdas sombreadas</t>
  </si>
  <si>
    <t>Años de Servicio</t>
  </si>
  <si>
    <t xml:space="preserve">Maestro de 1º y 2º de la ESO </t>
  </si>
  <si>
    <t>NO</t>
  </si>
  <si>
    <t>Nómina con Paga Extraordinaria</t>
  </si>
  <si>
    <t>Baleares</t>
  </si>
  <si>
    <t xml:space="preserve">Destino en Isla No Capitalina (Canarias) </t>
  </si>
  <si>
    <t>SI</t>
  </si>
  <si>
    <t>Elige Isla</t>
  </si>
  <si>
    <t>Formentera</t>
  </si>
  <si>
    <t>Tutor</t>
  </si>
  <si>
    <t>Cargo directivo</t>
  </si>
  <si>
    <t>Sin cargo</t>
  </si>
  <si>
    <t>Tipo de centro</t>
  </si>
  <si>
    <t>C</t>
  </si>
  <si>
    <t xml:space="preserve">% de retención de IRPF  </t>
  </si>
  <si>
    <t>RETRIBUCIONES</t>
  </si>
  <si>
    <t>Andalucía</t>
  </si>
  <si>
    <t>Aragón</t>
  </si>
  <si>
    <t>Asturias</t>
  </si>
  <si>
    <t>Baleares (Islas)</t>
  </si>
  <si>
    <t>Canarias</t>
  </si>
  <si>
    <t>Cantabria</t>
  </si>
  <si>
    <t>Castilla La Mancha</t>
  </si>
  <si>
    <t>Castilla y León</t>
  </si>
  <si>
    <t>Cataluña</t>
  </si>
  <si>
    <t>Extremadura</t>
  </si>
  <si>
    <t>Galicia</t>
  </si>
  <si>
    <t>La Rioja</t>
  </si>
  <si>
    <t>Madrid</t>
  </si>
  <si>
    <t>Murcia</t>
  </si>
  <si>
    <t>Valencia</t>
  </si>
  <si>
    <t>Ceuta y Melilla</t>
  </si>
  <si>
    <t>País Vasco</t>
  </si>
  <si>
    <t>Navarra</t>
  </si>
  <si>
    <t>Sueldo Base</t>
  </si>
  <si>
    <t>Trienios</t>
  </si>
  <si>
    <t>ANTIGÜEDAD NAVARRA</t>
  </si>
  <si>
    <t xml:space="preserve">Complemento Destino </t>
  </si>
  <si>
    <t>Complemento Específico General</t>
  </si>
  <si>
    <t>Complemento Específico</t>
  </si>
  <si>
    <t>Complemento Específico Autonómico</t>
  </si>
  <si>
    <t>Sin Sexenio</t>
  </si>
  <si>
    <t>5 años</t>
  </si>
  <si>
    <t>1º Sexenio</t>
  </si>
  <si>
    <t>6 años y 7 meses</t>
  </si>
  <si>
    <t>2º Sexenio</t>
  </si>
  <si>
    <t>10 años</t>
  </si>
  <si>
    <t>3º Sexenio</t>
  </si>
  <si>
    <t>13 años y 2 meses</t>
  </si>
  <si>
    <t>4º Sexenio</t>
  </si>
  <si>
    <t>15 años</t>
  </si>
  <si>
    <t>5º Sexenio</t>
  </si>
  <si>
    <t>19 años y 9 meses</t>
  </si>
  <si>
    <t>20 años</t>
  </si>
  <si>
    <t>Residencia</t>
  </si>
  <si>
    <t>25 años</t>
  </si>
  <si>
    <t>Trienio Residencia</t>
  </si>
  <si>
    <t>26 años y 4 meses</t>
  </si>
  <si>
    <t>Fondos adicionales/Especial dedicación/Carrera Docente</t>
  </si>
  <si>
    <t>30 años</t>
  </si>
  <si>
    <t>32 años y 11 meses</t>
  </si>
  <si>
    <t>35 años</t>
  </si>
  <si>
    <t>40 años</t>
  </si>
  <si>
    <r>
      <rPr>
        <sz val="11"/>
        <color rgb="FF00B0F0"/>
        <rFont val="Calibri"/>
        <charset val="134"/>
      </rPr>
      <t>&lt;</t>
    </r>
    <r>
      <rPr>
        <sz val="11"/>
        <color rgb="FF00B0F0"/>
        <rFont val="Calibri"/>
        <charset val="134"/>
        <scheme val="minor"/>
      </rPr>
      <t xml:space="preserve">  Extra Navarra</t>
    </r>
  </si>
  <si>
    <t>SUELDO BRUTO MENSUAL</t>
  </si>
  <si>
    <t>DESCUENTOS</t>
  </si>
  <si>
    <t>Cuota Sindical</t>
  </si>
  <si>
    <t>% Retención IRPF</t>
  </si>
  <si>
    <t>TOTAL DE GASTOS</t>
  </si>
  <si>
    <t>SUELDO BRUTO MEDIO ANUAL</t>
  </si>
  <si>
    <t>SUELDO MENSUAL LIQUIDO A PERCIBIR</t>
  </si>
  <si>
    <t>SUELDO BRUTO ANUAL</t>
  </si>
  <si>
    <t>COMPARATIVA DE RETRIBUCIONES POR COMUNIDADES</t>
  </si>
  <si>
    <t>Selecciona la Comunidad:</t>
  </si>
  <si>
    <t>COMPARATIVA DE RETRIBUCIONES POR COMUNIDADES CON RESPECTO A LA MEDIA</t>
  </si>
  <si>
    <t>Comunidad:</t>
  </si>
  <si>
    <t>RETRIBUCIÓN MÁXIMA</t>
  </si>
  <si>
    <t>RETRIBUCIÓN MÍNIMA</t>
  </si>
  <si>
    <t>Diferencia absoluta</t>
  </si>
  <si>
    <t>BRECHA ANUAL</t>
  </si>
  <si>
    <t>Diferencia relativa</t>
  </si>
  <si>
    <t>Interino</t>
  </si>
  <si>
    <t>Grupo</t>
  </si>
  <si>
    <t>Extra Sueldo Base</t>
  </si>
  <si>
    <t xml:space="preserve">Trienios </t>
  </si>
  <si>
    <t>Castilla-La Mancha</t>
  </si>
  <si>
    <t>Extra Trienio</t>
  </si>
  <si>
    <t>Comunidad Valenciana</t>
  </si>
  <si>
    <t>Extra Complemento Específico Autonómico</t>
  </si>
  <si>
    <t>Sin sexenio</t>
  </si>
  <si>
    <t>Madrid (Comunidad de)</t>
  </si>
  <si>
    <t>Murcia (Región de)</t>
  </si>
  <si>
    <t>Navarra (Comunidad Foral de)</t>
  </si>
  <si>
    <t>Rioja (La)</t>
  </si>
  <si>
    <t>Tutoría</t>
  </si>
  <si>
    <t>Residencia Isla Capitalina</t>
  </si>
  <si>
    <t>510-Inspección</t>
  </si>
  <si>
    <t>Residencia Isla No Capitalina</t>
  </si>
  <si>
    <t>511-Catedráticos</t>
  </si>
  <si>
    <t>Trienios Residencia Isla No Capitalina</t>
  </si>
  <si>
    <t>Adicional maestros 1º y 2º ESO</t>
  </si>
  <si>
    <t>591-Profesores Técnicos de Formación Profesional</t>
  </si>
  <si>
    <t>Carrera profesional (evaluación docente)</t>
  </si>
  <si>
    <t>592-Profesores de Escuelas Oficiales de Idiomas</t>
  </si>
  <si>
    <t>Productividad semestral (Murcia)</t>
  </si>
  <si>
    <t>594-Profesores de Música y Artes Escénicas</t>
  </si>
  <si>
    <t>Reducción 3% (Castilla la Mancha)</t>
  </si>
  <si>
    <t>595-Profesores de Artes Plásticas y Diseño</t>
  </si>
  <si>
    <t>Otros</t>
  </si>
  <si>
    <t>596-Maestros de Taller de Artes Plásticas y Diseño</t>
  </si>
  <si>
    <t>MUFACE</t>
  </si>
  <si>
    <t>597-Maestros</t>
  </si>
  <si>
    <t>Clases Pasivas</t>
  </si>
  <si>
    <t>IMPORTANTE: PARA ACTUALIZAR CAMBIAR SÓLO LAS CELDAS SOMBREADAS</t>
  </si>
  <si>
    <t>Dirección</t>
  </si>
  <si>
    <t>A</t>
  </si>
  <si>
    <t>Años de Servicio a efectos de trienios</t>
  </si>
  <si>
    <t>Vicedirección</t>
  </si>
  <si>
    <t>B</t>
  </si>
  <si>
    <t xml:space="preserve">Maestro de Primero y Segundo de la ESO </t>
  </si>
  <si>
    <t>Jefatura de Estudios</t>
  </si>
  <si>
    <t>Secretaría</t>
  </si>
  <si>
    <t>D</t>
  </si>
  <si>
    <t xml:space="preserve">Destino en Isla No Capitalina  </t>
  </si>
  <si>
    <t>E</t>
  </si>
  <si>
    <t>F</t>
  </si>
  <si>
    <t>INSPECCION</t>
  </si>
  <si>
    <t>ACT. 02/26</t>
  </si>
  <si>
    <t>A2</t>
  </si>
  <si>
    <t>A1</t>
  </si>
  <si>
    <t>Extra Complemento Específico</t>
  </si>
  <si>
    <t>SEXENIOS EXTRA</t>
  </si>
  <si>
    <t>Complemento mejora/especial dedicación</t>
  </si>
  <si>
    <t>Extra Adicional maestros 1º y 2º ESO</t>
  </si>
  <si>
    <t>ACTUALIZADO 02/26 (con +1,5%)</t>
  </si>
  <si>
    <t>Nivel</t>
  </si>
  <si>
    <t>Complemento nivelador catedráticos</t>
  </si>
  <si>
    <t>FALTA MAESTROS EN LA ESO</t>
  </si>
  <si>
    <t>Corresponde por sexenio:</t>
  </si>
  <si>
    <t>ACTUALIZADO 02/26</t>
  </si>
  <si>
    <t>Inspección</t>
  </si>
  <si>
    <t>C. especifico</t>
  </si>
  <si>
    <t xml:space="preserve">EXTRA Complemento Específico </t>
  </si>
  <si>
    <t>SEXENIOS EXTRAS:</t>
  </si>
  <si>
    <t>Fondos adicionales</t>
  </si>
  <si>
    <t>FONDOS ADICIONALES</t>
  </si>
  <si>
    <t>Corresponde por sexenio</t>
  </si>
  <si>
    <t>Extra sexenio</t>
  </si>
  <si>
    <t>Actualizado 02/26</t>
  </si>
  <si>
    <t>&lt;6 AÑOS</t>
  </si>
  <si>
    <t>RESTO</t>
  </si>
  <si>
    <t>INSP. COMP.G</t>
  </si>
  <si>
    <t>INSP.COMP.ESP</t>
  </si>
  <si>
    <t>CORRESPONDE POR SEXENIO</t>
  </si>
  <si>
    <t>Complemento Evaluación Docente (tramo A)</t>
  </si>
  <si>
    <t>EVALUACIÓN DOCENTE TRAMO A</t>
  </si>
  <si>
    <t>TRAMO A</t>
  </si>
  <si>
    <t>Complemento Evaluación Docente (tramo B)</t>
  </si>
  <si>
    <t>EVALUACIÓN DOCENTE TRAMO B</t>
  </si>
  <si>
    <t>TRAMO B</t>
  </si>
  <si>
    <t>ACT.FEB-26</t>
  </si>
  <si>
    <t>C.ESPEC.GENERAL INSPECC</t>
  </si>
  <si>
    <t>C.ESPEC.SINGULAR.INSPECCIÓN</t>
  </si>
  <si>
    <t>Menos de 1 año</t>
  </si>
  <si>
    <t>FC</t>
  </si>
  <si>
    <t>Complemento Específico Autonómico (carrera)</t>
  </si>
  <si>
    <t>Complemento Específico Autonómico* (va por antigüedad)</t>
  </si>
  <si>
    <t>Interinos y practicas</t>
  </si>
  <si>
    <t>Complemento Específico Autonómico (interinos y prácticas)</t>
  </si>
  <si>
    <t>Más de 1 año</t>
  </si>
  <si>
    <t>Diferencial</t>
  </si>
  <si>
    <t>Diferenical</t>
  </si>
  <si>
    <t>Más de 6 años</t>
  </si>
  <si>
    <t>Más de 12 años</t>
  </si>
  <si>
    <t>Más de 18 años</t>
  </si>
  <si>
    <t>Más de 24 años</t>
  </si>
  <si>
    <t>Más de 30 años</t>
  </si>
  <si>
    <t>Mallorca</t>
  </si>
  <si>
    <t>Menorca</t>
  </si>
  <si>
    <t>Ibiza</t>
  </si>
  <si>
    <t>Residencia Mallorca</t>
  </si>
  <si>
    <t>Difícil cobertura</t>
  </si>
  <si>
    <t>Residencia Isla No Capitalina (Menorca/Ibiza/Formentera)</t>
  </si>
  <si>
    <t>Indemnización Residencia</t>
  </si>
  <si>
    <t>TOTAL:</t>
  </si>
  <si>
    <t>Carrera Profesional (Primer tramo)</t>
  </si>
  <si>
    <t>CARRERA PROFESIONAL Primer tramo</t>
  </si>
  <si>
    <t>Carrera Profesional (Segundo tramo)</t>
  </si>
  <si>
    <t>CARRERA PROFESIONAL Segundo tramo</t>
  </si>
  <si>
    <t>ACT.feb-26</t>
  </si>
  <si>
    <t>Sin sexenio (complemento a la formación)</t>
  </si>
  <si>
    <t>FALTA COMPLE. INSPECCION. No actualizado</t>
  </si>
  <si>
    <t>complemento de inspección</t>
  </si>
  <si>
    <t>ACT. 02/2026</t>
  </si>
  <si>
    <t>inspección</t>
  </si>
  <si>
    <t>CARRERA</t>
  </si>
  <si>
    <t>ANTIGÜEDAD EXIGIDA</t>
  </si>
  <si>
    <t>INCOMPATIBLE CON SEXENIOS</t>
  </si>
  <si>
    <t>EXTRAORD</t>
  </si>
  <si>
    <t>ORDINA</t>
  </si>
  <si>
    <t>C1</t>
  </si>
  <si>
    <t>La carrera profesional en Castilla y León es incompatible con los sexenios</t>
  </si>
  <si>
    <t>C2</t>
  </si>
  <si>
    <t>C3</t>
  </si>
  <si>
    <t>C4</t>
  </si>
  <si>
    <t>FEB-26 SIN EQ.DIRECTIVOS A2</t>
  </si>
  <si>
    <t>Unidades A2</t>
  </si>
  <si>
    <t xml:space="preserve">más 30 </t>
  </si>
  <si>
    <t>Más de 31 unidades</t>
  </si>
  <si>
    <t>De 21 a 30</t>
  </si>
  <si>
    <t>Entre 22 y 30 unidades</t>
  </si>
  <si>
    <t>De 15 a 20</t>
  </si>
  <si>
    <t>Entre 12 y 21 unidades</t>
  </si>
  <si>
    <t>De 7 a 14</t>
  </si>
  <si>
    <t>Menos de 11 unidades</t>
  </si>
  <si>
    <t>De 3 a 6</t>
  </si>
  <si>
    <t>Inferior a 3</t>
  </si>
  <si>
    <t>la suma de 339,41 y 583,66</t>
  </si>
  <si>
    <t>Solo cobran tutoría solo ESO</t>
  </si>
  <si>
    <t>ACTUALIZADO ENE-26</t>
  </si>
  <si>
    <t>90 euros desde 2018 hasta enero 2021</t>
  </si>
  <si>
    <t>15 20 25 y 30 en 4 tramos</t>
  </si>
  <si>
    <t>Acabamos 1 de enero de 2021</t>
  </si>
  <si>
    <t>Complemento inspección</t>
  </si>
  <si>
    <t>NO HAY EN A2</t>
  </si>
  <si>
    <t>ACT. FEB-25</t>
  </si>
  <si>
    <t>LA CARRERA PROFESIONAL SON 14 PAGAS</t>
  </si>
  <si>
    <t>IMPORTE ANUAL</t>
  </si>
  <si>
    <t>Carrera profesional porreteada en 14 pagas</t>
  </si>
  <si>
    <t>Grado I</t>
  </si>
  <si>
    <t>5 AÑOS</t>
  </si>
  <si>
    <t>Productividad pagas extras</t>
  </si>
  <si>
    <t>Grado II</t>
  </si>
  <si>
    <t>6 AÑOS EN G1</t>
  </si>
  <si>
    <t>11 AÑOS</t>
  </si>
  <si>
    <t>Grado III</t>
  </si>
  <si>
    <t>6 AÑOS EN G2</t>
  </si>
  <si>
    <t>HASTA 2029 NO PONER</t>
  </si>
  <si>
    <t>17 AÑOS</t>
  </si>
  <si>
    <t>Hasta 2029</t>
  </si>
  <si>
    <t>Grado IV</t>
  </si>
  <si>
    <t>6 AÑOS EN G3</t>
  </si>
  <si>
    <t>23 AÑOS</t>
  </si>
  <si>
    <t>ACT. FEB-26</t>
  </si>
  <si>
    <t>ESTIMACIÓN ALUMANDO</t>
  </si>
  <si>
    <t>Maestros:</t>
  </si>
  <si>
    <t>Restricciones al modelo:</t>
  </si>
  <si>
    <t>Línea 2, 25 alumnos/unidad</t>
  </si>
  <si>
    <t>A2: Linea 2 25 alumnos por aula(Primaria). 20 alumnos/aula (infantil)</t>
  </si>
  <si>
    <t>3 niveles en infantil y 6 en primaria</t>
  </si>
  <si>
    <t>A1: Lina 3 a 30 alumnos por aula: 18 unidades*30 = 540 alumnos</t>
  </si>
  <si>
    <t>9 niveles*2*25 = 450</t>
  </si>
  <si>
    <t>IES: 6 niveles. Línea 3. ratio 30</t>
  </si>
  <si>
    <t>Total: 6*3*30 = 540 alumnos</t>
  </si>
  <si>
    <t>DIRECCIÓN</t>
  </si>
  <si>
    <t>RATIOS (LINEA 2)</t>
  </si>
  <si>
    <t>RATIO/UD</t>
  </si>
  <si>
    <t>LINEA</t>
  </si>
  <si>
    <t>NIVELES</t>
  </si>
  <si>
    <t>TOTALES</t>
  </si>
  <si>
    <t xml:space="preserve">MODULO FIJO </t>
  </si>
  <si>
    <t>VARIABLE UNIT</t>
  </si>
  <si>
    <t>INFANTIL</t>
  </si>
  <si>
    <t>PRIMARIA</t>
  </si>
  <si>
    <t>SECUNDARIA</t>
  </si>
  <si>
    <t>BACHILLERATO</t>
  </si>
  <si>
    <t>En junio y septiembre el importe de tutoría se duplica</t>
  </si>
  <si>
    <t>PRODUCTIVIDAD SEMESTRAL</t>
  </si>
  <si>
    <t>Complemento General y Espec Singular</t>
  </si>
  <si>
    <t>Productividad fija mensual (lo cobran todos)</t>
  </si>
  <si>
    <t>CE</t>
  </si>
  <si>
    <t>Carrera profesional (a partir 6 años antigüedad)</t>
  </si>
  <si>
    <t>Productividad semestral (Murcia) CE+CD+CP específico</t>
  </si>
  <si>
    <t>En extras cobran CD+CE+Paga adicional CP Específico</t>
  </si>
  <si>
    <t>ACT. MAY-26</t>
  </si>
  <si>
    <t>FALTA EQUIPOS DIRECTIVOS</t>
  </si>
  <si>
    <t>Inspección:</t>
  </si>
  <si>
    <t>C.Específico</t>
  </si>
  <si>
    <t xml:space="preserve">Complemento específico </t>
  </si>
  <si>
    <t xml:space="preserve">Trienios Residencia </t>
  </si>
  <si>
    <t>SIN ACTUALIZAR</t>
  </si>
  <si>
    <t>más de 55 unidades</t>
  </si>
  <si>
    <t>&gt; de 1800 alumnos</t>
  </si>
  <si>
    <t>Más de 23 unidades</t>
  </si>
  <si>
    <t>&gt; de 1000 alumnos</t>
  </si>
  <si>
    <t>Más de 15 unidades</t>
  </si>
  <si>
    <t>&gt; de 600 alumnos</t>
  </si>
  <si>
    <t>Más de 7 unidades</t>
  </si>
  <si>
    <t>&lt;= de 600 alumnos</t>
  </si>
  <si>
    <t>Más de 2 unidades</t>
  </si>
  <si>
    <t>Menor o igual a 2 uds</t>
  </si>
  <si>
    <t>MAESTROS Y PROF. DE FP</t>
  </si>
  <si>
    <t>PES Y CATEDRÁTICOS</t>
  </si>
  <si>
    <t>&gt;27 UDS</t>
  </si>
  <si>
    <t>0 €/mes</t>
  </si>
  <si>
    <t>&lt;5 AÑOS</t>
  </si>
  <si>
    <t>Grado 1 :</t>
  </si>
  <si>
    <t>19-27 UDS</t>
  </si>
  <si>
    <t>6 A Y 7 M</t>
  </si>
  <si>
    <t xml:space="preserve">Grado 2 : </t>
  </si>
  <si>
    <t>9-18 UDS</t>
  </si>
  <si>
    <t>13 A Y 2 M</t>
  </si>
  <si>
    <t>Grado 3 :</t>
  </si>
  <si>
    <t>5-8 UDS</t>
  </si>
  <si>
    <t>19 A Y 9 M</t>
  </si>
  <si>
    <t>Grado 4 :</t>
  </si>
  <si>
    <t>3-4 UDS</t>
  </si>
  <si>
    <t>26 A Y 4 M</t>
  </si>
  <si>
    <t>Grado 5 :</t>
  </si>
  <si>
    <t>1-2 UDS</t>
  </si>
  <si>
    <t>32 A Y 11 M</t>
  </si>
  <si>
    <t>Grado 6 :</t>
  </si>
  <si>
    <t>A: &gt;1000 ALUMNOS</t>
  </si>
  <si>
    <t>maestros ESO</t>
  </si>
  <si>
    <t>B: 500-1000 ALUMNOS</t>
  </si>
  <si>
    <t>&gt;500 (+20 UDS)</t>
  </si>
  <si>
    <t>&lt;500</t>
  </si>
  <si>
    <t>RESTO: &lt;500 ALUMNOS</t>
  </si>
  <si>
    <t>10 AÑOS</t>
  </si>
  <si>
    <t>13 a y 2m</t>
  </si>
  <si>
    <t>GRADO</t>
  </si>
  <si>
    <t>15 AÑOS</t>
  </si>
  <si>
    <t>19 AÑOS Y 9 MESES</t>
  </si>
  <si>
    <t>20 AÑOS</t>
  </si>
  <si>
    <t>Quinqu. 4º</t>
  </si>
  <si>
    <t>25 AÑOS</t>
  </si>
  <si>
    <t>Quinqu. 5º</t>
  </si>
  <si>
    <t>26 A Y 4M</t>
  </si>
  <si>
    <t>30 AÑOS</t>
  </si>
  <si>
    <t>Quinqu. 6º</t>
  </si>
  <si>
    <t>32 AÑOS Y 11M</t>
  </si>
  <si>
    <t>35 AÑOS</t>
  </si>
  <si>
    <t>Quinqu. 7º</t>
  </si>
  <si>
    <t>40 AÑOS</t>
  </si>
  <si>
    <t>Quinqu</t>
  </si>
  <si>
    <t>CORRESPONDE COBRAR POR ANTIGÜEDAD</t>
  </si>
  <si>
    <t xml:space="preserve">ARAGÓN: </t>
  </si>
  <si>
    <t>Tiene importes diferentes en lo ssexenios mensuales, que en los sexenios de las pagas extras</t>
  </si>
  <si>
    <t>CANARIAS:</t>
  </si>
  <si>
    <t>BALEARES:</t>
  </si>
  <si>
    <t xml:space="preserve">Tienen complemento autonómico para funcionarios en prácticas e interinos, y otro para funcionarios de carrera escalable por antigüedad (como sexenios). También acuerdo de difícil cobertura difrente por islas, y una indemnización por residencia que también cambia en función del grupo profesional (A1, A2) </t>
  </si>
  <si>
    <t>Las extras tienen los sexenios reducidos. El complemento específico en la extra es menor que en las pagas ordinarias. Los trienios en isla no capitalina son menores</t>
  </si>
  <si>
    <t>CANTABRIA</t>
  </si>
  <si>
    <t>CASTILLA LA MANCHA:</t>
  </si>
  <si>
    <t>MADRID:</t>
  </si>
  <si>
    <t>Los cargos directivos tienen un componente fijo y otro variable en función del número de alumnos matriculados</t>
  </si>
  <si>
    <t>MURCIA:</t>
  </si>
  <si>
    <t>NAVARRA:</t>
  </si>
  <si>
    <t>Antigüedad mediante escala de grados y quinquenios. No tienen complemento de destino. El sueldo base es más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</si>
</sst>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[$-C0A]mmm\-yy"/>
    <numFmt numFmtId="166" formatCode="#,##0.00_ ;[Red]\-#,##0.00\ "/>
    <numFmt numFmtId="167" formatCode="#,##0.00\ &quot;€&quot;"/>
  </numFmts>
  <fonts count="6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name val="Verdana"/>
      <charset val="134"/>
    </font>
    <font>
      <sz val="10"/>
      <color theme="1"/>
      <name val="Verdana"/>
      <charset val="134"/>
    </font>
    <font>
      <sz val="8"/>
      <name val="Arial"/>
      <charset val="134"/>
    </font>
    <font>
      <sz val="8"/>
      <color theme="1"/>
      <name val="Verdana"/>
      <charset val="134"/>
    </font>
    <font>
      <b/>
      <sz val="14"/>
      <color theme="1"/>
      <name val="Calibri"/>
      <charset val="134"/>
      <scheme val="minor"/>
    </font>
    <font>
      <sz val="8"/>
      <color rgb="FFFF0000"/>
      <name val="Calibri"/>
      <charset val="134"/>
      <scheme val="minor"/>
    </font>
    <font>
      <b/>
      <sz val="8"/>
      <name val="Calibri"/>
      <charset val="134"/>
      <scheme val="minor"/>
    </font>
    <font>
      <b/>
      <sz val="8"/>
      <color rgb="FF000000"/>
      <name val="Calibri"/>
      <charset val="134"/>
      <scheme val="minor"/>
    </font>
    <font>
      <sz val="8"/>
      <color rgb="FF000000"/>
      <name val="Calibri"/>
      <charset val="134"/>
      <scheme val="minor"/>
    </font>
    <font>
      <sz val="8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8"/>
      <color rgb="FF00B050"/>
      <name val="Calibri"/>
      <charset val="134"/>
      <scheme val="minor"/>
    </font>
    <font>
      <sz val="7"/>
      <color rgb="FF000000"/>
      <name val="Calibri"/>
      <charset val="134"/>
      <scheme val="minor"/>
    </font>
    <font>
      <sz val="8"/>
      <color rgb="FFFF0000"/>
      <name val="Arial"/>
      <charset val="134"/>
    </font>
    <font>
      <sz val="7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10"/>
      <color rgb="FFFF0000"/>
      <name val="Arial"/>
      <charset val="134"/>
    </font>
    <font>
      <sz val="8"/>
      <color rgb="FF00B050"/>
      <name val="Calibri"/>
      <charset val="134"/>
      <scheme val="minor"/>
    </font>
    <font>
      <sz val="9"/>
      <color theme="1"/>
      <name val="Verdana"/>
      <charset val="134"/>
    </font>
    <font>
      <b/>
      <sz val="24"/>
      <color rgb="FF00B0F0"/>
      <name val="Verdana"/>
      <charset val="134"/>
    </font>
    <font>
      <b/>
      <i/>
      <sz val="28"/>
      <color rgb="FF00B0F0"/>
      <name val="Verdana"/>
      <charset val="134"/>
    </font>
    <font>
      <sz val="9"/>
      <color theme="3" tint="-0.249977111117893"/>
      <name val="Verdana"/>
      <charset val="134"/>
    </font>
    <font>
      <b/>
      <sz val="8"/>
      <color rgb="FF00B050"/>
      <name val="Verdana"/>
      <charset val="134"/>
    </font>
    <font>
      <sz val="12"/>
      <color rgb="FF00B050"/>
      <name val="Verdana"/>
      <charset val="134"/>
    </font>
    <font>
      <b/>
      <sz val="10.5"/>
      <color rgb="FF00B0F0"/>
      <name val="Verdana"/>
      <charset val="134"/>
    </font>
    <font>
      <b/>
      <sz val="14"/>
      <color rgb="FF00B0F0"/>
      <name val="Verdana"/>
      <charset val="134"/>
    </font>
    <font>
      <b/>
      <sz val="11"/>
      <color rgb="FF00B0F0"/>
      <name val="Verdana"/>
      <charset val="134"/>
    </font>
    <font>
      <i/>
      <sz val="18"/>
      <color theme="5"/>
      <name val="Verdana"/>
      <charset val="134"/>
    </font>
    <font>
      <sz val="14"/>
      <color theme="1"/>
      <name val="Verdana"/>
      <charset val="134"/>
    </font>
    <font>
      <b/>
      <sz val="9"/>
      <color theme="0"/>
      <name val="Verdana"/>
      <charset val="134"/>
    </font>
    <font>
      <sz val="11"/>
      <color theme="1"/>
      <name val="Verdana"/>
      <charset val="134"/>
    </font>
    <font>
      <b/>
      <sz val="9"/>
      <color rgb="FF00B0F0"/>
      <name val="Verdana"/>
      <charset val="134"/>
    </font>
    <font>
      <sz val="11"/>
      <color rgb="FF00B0F0"/>
      <name val="Verdana"/>
      <charset val="134"/>
    </font>
    <font>
      <sz val="11"/>
      <color rgb="FF00B050"/>
      <name val="Verdana"/>
      <charset val="134"/>
    </font>
    <font>
      <sz val="11"/>
      <color rgb="FF00B0F0"/>
      <name val="Calibri"/>
      <charset val="134"/>
      <scheme val="minor"/>
    </font>
    <font>
      <sz val="10.5"/>
      <color rgb="FF00B0F0"/>
      <name val="Calibri"/>
      <charset val="134"/>
      <scheme val="minor"/>
    </font>
    <font>
      <b/>
      <sz val="11"/>
      <color rgb="FF00B050"/>
      <name val="Verdana"/>
      <charset val="134"/>
    </font>
    <font>
      <sz val="11"/>
      <name val="Verdana"/>
      <charset val="134"/>
    </font>
    <font>
      <sz val="11"/>
      <color rgb="FFFF0000"/>
      <name val="Verdana"/>
      <charset val="134"/>
    </font>
    <font>
      <sz val="10"/>
      <color rgb="FF00B0F0"/>
      <name val="Verdana"/>
      <charset val="134"/>
    </font>
    <font>
      <b/>
      <sz val="10"/>
      <color rgb="FF00B050"/>
      <name val="Verdana"/>
      <charset val="134"/>
    </font>
    <font>
      <b/>
      <sz val="10"/>
      <color rgb="FF00B0F0"/>
      <name val="Verdana"/>
      <charset val="134"/>
    </font>
    <font>
      <sz val="10.5"/>
      <name val="Verdana"/>
      <charset val="134"/>
    </font>
    <font>
      <b/>
      <sz val="14"/>
      <color theme="1"/>
      <name val="Verdana"/>
      <charset val="134"/>
    </font>
    <font>
      <sz val="10"/>
      <color rgb="FF00B050"/>
      <name val="Verdana"/>
      <charset val="134"/>
    </font>
    <font>
      <b/>
      <sz val="11"/>
      <name val="Verdana"/>
      <charset val="134"/>
    </font>
    <font>
      <b/>
      <sz val="9"/>
      <color theme="1"/>
      <name val="Verdana"/>
      <charset val="134"/>
    </font>
    <font>
      <b/>
      <sz val="9.5"/>
      <color rgb="FF00B050"/>
      <name val="Verdana"/>
      <charset val="134"/>
    </font>
    <font>
      <sz val="14"/>
      <color theme="4" tint="-0.249977111117893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10"/>
      <name val="Arial"/>
      <charset val="134"/>
    </font>
    <font>
      <sz val="11"/>
      <color rgb="FF00B0F0"/>
      <name val="Calibri"/>
      <charset val="134"/>
    </font>
    <font>
      <b/>
      <sz val="8"/>
      <name val="Tahoma"/>
      <charset val="134"/>
    </font>
    <font>
      <sz val="8"/>
      <name val="Tahoma"/>
      <charset val="134"/>
    </font>
  </fonts>
  <fills count="2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85656300546282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89013336588644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B050"/>
      </left>
      <right style="thin">
        <color auto="1"/>
      </right>
      <top style="thick">
        <color rgb="FF00B050"/>
      </top>
      <bottom style="thick">
        <color rgb="FF00B050"/>
      </bottom>
      <diagonal/>
    </border>
    <border>
      <left style="thick">
        <color rgb="FF0070C0"/>
      </left>
      <right style="medium">
        <color auto="1"/>
      </right>
      <top style="thick">
        <color rgb="FF0070C0"/>
      </top>
      <bottom/>
      <diagonal/>
    </border>
    <border>
      <left style="medium">
        <color auto="1"/>
      </left>
      <right style="thick">
        <color rgb="FF0070C0"/>
      </right>
      <top style="thick">
        <color rgb="FF0070C0"/>
      </top>
      <bottom style="medium">
        <color auto="1"/>
      </bottom>
      <diagonal/>
    </border>
    <border>
      <left style="thick">
        <color rgb="FF0070C0"/>
      </left>
      <right style="medium">
        <color auto="1"/>
      </right>
      <top/>
      <bottom/>
      <diagonal/>
    </border>
    <border>
      <left style="medium">
        <color auto="1"/>
      </left>
      <right style="thick">
        <color rgb="FF0070C0"/>
      </right>
      <top style="medium">
        <color auto="1"/>
      </top>
      <bottom style="medium">
        <color auto="1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 style="medium">
        <color auto="1"/>
      </right>
      <top/>
      <bottom style="medium">
        <color auto="1"/>
      </bottom>
      <diagonal/>
    </border>
    <border>
      <left style="thick">
        <color rgb="FF0070C0"/>
      </left>
      <right style="thick">
        <color rgb="FF0070C0"/>
      </right>
      <top/>
      <bottom style="thin">
        <color rgb="FF0070C0"/>
      </bottom>
      <diagonal/>
    </border>
    <border>
      <left style="thick">
        <color rgb="FF0070C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70C0"/>
      </left>
      <right style="thick">
        <color rgb="FF0070C0"/>
      </right>
      <top style="thin">
        <color rgb="FF0070C0"/>
      </top>
      <bottom style="thick">
        <color rgb="FF0070C0"/>
      </bottom>
      <diagonal/>
    </border>
    <border>
      <left style="thick">
        <color rgb="FF0070C0"/>
      </left>
      <right style="medium">
        <color auto="1"/>
      </right>
      <top style="medium">
        <color auto="1"/>
      </top>
      <bottom style="thick">
        <color rgb="FF0070C0"/>
      </bottom>
      <diagonal/>
    </border>
    <border>
      <left style="medium">
        <color auto="1"/>
      </left>
      <right style="thick">
        <color rgb="FF0070C0"/>
      </right>
      <top style="medium">
        <color auto="1"/>
      </top>
      <bottom style="thick">
        <color rgb="FF0070C0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60" fillId="0" borderId="0" applyFont="0" applyFill="0" applyBorder="0" applyAlignment="0" applyProtection="0"/>
    <xf numFmtId="0" fontId="60" fillId="0" borderId="0"/>
    <xf numFmtId="0" fontId="60" fillId="0" borderId="0"/>
  </cellStyleXfs>
  <cellXfs count="247">
    <xf numFmtId="0" fontId="0" fillId="0" borderId="0" xfId="0"/>
    <xf numFmtId="0" fontId="1" fillId="0" borderId="0" xfId="0" applyFont="1"/>
    <xf numFmtId="0" fontId="2" fillId="0" borderId="0" xfId="0" applyFont="1" applyProtection="1">
      <protection hidden="1"/>
    </xf>
    <xf numFmtId="0" fontId="0" fillId="0" borderId="0" xfId="0" applyProtection="1"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3" fillId="2" borderId="2" xfId="0" applyFont="1" applyFill="1" applyBorder="1" applyAlignment="1" applyProtection="1">
      <alignment horizontal="left" vertical="center"/>
      <protection hidden="1"/>
    </xf>
    <xf numFmtId="0" fontId="3" fillId="2" borderId="3" xfId="0" applyFont="1" applyFill="1" applyBorder="1" applyAlignment="1" applyProtection="1">
      <alignment horizontal="left" vertical="center"/>
      <protection hidden="1"/>
    </xf>
    <xf numFmtId="9" fontId="0" fillId="0" borderId="0" xfId="0" applyNumberFormat="1" applyProtection="1">
      <protection hidden="1"/>
    </xf>
    <xf numFmtId="0" fontId="5" fillId="0" borderId="0" xfId="0" applyFont="1" applyProtection="1">
      <protection hidden="1"/>
    </xf>
    <xf numFmtId="0" fontId="6" fillId="4" borderId="3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2" fillId="4" borderId="3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hidden="1"/>
    </xf>
    <xf numFmtId="0" fontId="9" fillId="0" borderId="0" xfId="0" applyFont="1" applyProtection="1">
      <protection hidden="1"/>
    </xf>
    <xf numFmtId="0" fontId="10" fillId="4" borderId="3" xfId="0" applyFont="1" applyFill="1" applyBorder="1" applyAlignment="1" applyProtection="1">
      <alignment horizontal="center" vertical="center" wrapText="1"/>
      <protection hidden="1"/>
    </xf>
    <xf numFmtId="4" fontId="2" fillId="4" borderId="4" xfId="2" applyNumberFormat="1" applyFont="1" applyFill="1" applyBorder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3" fontId="2" fillId="4" borderId="5" xfId="2" applyNumberFormat="1" applyFont="1" applyFill="1" applyBorder="1" applyAlignment="1" applyProtection="1">
      <alignment horizontal="center"/>
      <protection hidden="1"/>
    </xf>
    <xf numFmtId="0" fontId="8" fillId="5" borderId="0" xfId="0" applyFont="1" applyFill="1" applyProtection="1">
      <protection hidden="1"/>
    </xf>
    <xf numFmtId="0" fontId="11" fillId="4" borderId="3" xfId="0" applyFont="1" applyFill="1" applyBorder="1" applyAlignment="1" applyProtection="1">
      <alignment horizontal="left" vertical="center" wrapText="1"/>
      <protection hidden="1"/>
    </xf>
    <xf numFmtId="4" fontId="2" fillId="4" borderId="3" xfId="2" applyNumberFormat="1" applyFont="1" applyFill="1" applyBorder="1" applyAlignment="1" applyProtection="1">
      <alignment horizontal="center" vertical="center"/>
      <protection hidden="1"/>
    </xf>
    <xf numFmtId="0" fontId="11" fillId="6" borderId="3" xfId="0" applyFont="1" applyFill="1" applyBorder="1" applyAlignment="1" applyProtection="1">
      <alignment horizontal="left" vertical="center" wrapText="1"/>
      <protection hidden="1"/>
    </xf>
    <xf numFmtId="0" fontId="2" fillId="0" borderId="3" xfId="0" applyFont="1" applyBorder="1" applyProtection="1">
      <protection hidden="1"/>
    </xf>
    <xf numFmtId="4" fontId="2" fillId="4" borderId="3" xfId="2" applyNumberFormat="1" applyFont="1" applyFill="1" applyBorder="1" applyAlignment="1" applyProtection="1">
      <alignment horizontal="center"/>
      <protection hidden="1"/>
    </xf>
    <xf numFmtId="0" fontId="2" fillId="4" borderId="3" xfId="0" applyFont="1" applyFill="1" applyBorder="1" applyProtection="1">
      <protection hidden="1"/>
    </xf>
    <xf numFmtId="0" fontId="2" fillId="5" borderId="0" xfId="0" applyFont="1" applyFill="1" applyProtection="1">
      <protection hidden="1"/>
    </xf>
    <xf numFmtId="0" fontId="8" fillId="5" borderId="3" xfId="0" applyFont="1" applyFill="1" applyBorder="1" applyProtection="1">
      <protection hidden="1"/>
    </xf>
    <xf numFmtId="4" fontId="2" fillId="5" borderId="3" xfId="0" applyNumberFormat="1" applyFont="1" applyFill="1" applyBorder="1" applyProtection="1">
      <protection hidden="1"/>
    </xf>
    <xf numFmtId="0" fontId="11" fillId="3" borderId="3" xfId="0" applyFont="1" applyFill="1" applyBorder="1" applyAlignment="1" applyProtection="1">
      <alignment horizontal="left" vertical="center" wrapText="1"/>
      <protection hidden="1"/>
    </xf>
    <xf numFmtId="0" fontId="12" fillId="0" borderId="3" xfId="0" applyFont="1" applyBorder="1" applyProtection="1">
      <protection hidden="1"/>
    </xf>
    <xf numFmtId="0" fontId="11" fillId="7" borderId="3" xfId="0" applyFont="1" applyFill="1" applyBorder="1" applyAlignment="1" applyProtection="1">
      <alignment horizontal="left" vertical="center" wrapText="1"/>
      <protection hidden="1"/>
    </xf>
    <xf numFmtId="0" fontId="2" fillId="5" borderId="3" xfId="0" applyFont="1" applyFill="1" applyBorder="1" applyProtection="1">
      <protection hidden="1"/>
    </xf>
    <xf numFmtId="0" fontId="11" fillId="8" borderId="3" xfId="0" applyFont="1" applyFill="1" applyBorder="1" applyAlignment="1" applyProtection="1">
      <alignment horizontal="left" vertical="center" wrapText="1"/>
      <protection hidden="1"/>
    </xf>
    <xf numFmtId="0" fontId="11" fillId="9" borderId="3" xfId="0" applyFont="1" applyFill="1" applyBorder="1" applyAlignment="1" applyProtection="1">
      <alignment horizontal="left" vertical="center" wrapText="1"/>
      <protection hidden="1"/>
    </xf>
    <xf numFmtId="0" fontId="2" fillId="9" borderId="3" xfId="0" applyFont="1" applyFill="1" applyBorder="1" applyProtection="1">
      <protection hidden="1"/>
    </xf>
    <xf numFmtId="0" fontId="13" fillId="4" borderId="0" xfId="0" applyFont="1" applyFill="1" applyAlignment="1" applyProtection="1">
      <alignment horizontal="center"/>
      <protection hidden="1"/>
    </xf>
    <xf numFmtId="0" fontId="2" fillId="10" borderId="3" xfId="0" applyFont="1" applyFill="1" applyBorder="1" applyProtection="1">
      <protection hidden="1"/>
    </xf>
    <xf numFmtId="0" fontId="8" fillId="4" borderId="0" xfId="0" applyFont="1" applyFill="1" applyProtection="1">
      <protection hidden="1"/>
    </xf>
    <xf numFmtId="0" fontId="2" fillId="11" borderId="3" xfId="0" applyFont="1" applyFill="1" applyBorder="1" applyProtection="1">
      <protection hidden="1"/>
    </xf>
    <xf numFmtId="8" fontId="12" fillId="0" borderId="3" xfId="0" applyNumberFormat="1" applyFont="1" applyBorder="1" applyProtection="1">
      <protection hidden="1"/>
    </xf>
    <xf numFmtId="0" fontId="3" fillId="12" borderId="6" xfId="0" applyFont="1" applyFill="1" applyBorder="1" applyAlignment="1" applyProtection="1">
      <alignment horizontal="center" wrapText="1"/>
      <protection hidden="1"/>
    </xf>
    <xf numFmtId="0" fontId="10" fillId="13" borderId="3" xfId="0" applyFont="1" applyFill="1" applyBorder="1" applyAlignment="1" applyProtection="1">
      <alignment horizontal="left" vertical="center" wrapText="1"/>
      <protection hidden="1"/>
    </xf>
    <xf numFmtId="0" fontId="12" fillId="0" borderId="0" xfId="0" applyFont="1" applyProtection="1">
      <protection hidden="1"/>
    </xf>
    <xf numFmtId="0" fontId="10" fillId="14" borderId="3" xfId="0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left" wrapText="1"/>
      <protection hidden="1"/>
    </xf>
    <xf numFmtId="4" fontId="8" fillId="5" borderId="3" xfId="0" applyNumberFormat="1" applyFont="1" applyFill="1" applyBorder="1" applyProtection="1">
      <protection hidden="1"/>
    </xf>
    <xf numFmtId="0" fontId="13" fillId="0" borderId="0" xfId="0" applyFont="1" applyProtection="1">
      <protection hidden="1"/>
    </xf>
    <xf numFmtId="0" fontId="2" fillId="4" borderId="0" xfId="0" applyFont="1" applyFill="1" applyProtection="1">
      <protection hidden="1"/>
    </xf>
    <xf numFmtId="8" fontId="2" fillId="5" borderId="3" xfId="0" applyNumberFormat="1" applyFont="1" applyFill="1" applyBorder="1" applyProtection="1">
      <protection hidden="1"/>
    </xf>
    <xf numFmtId="8" fontId="2" fillId="0" borderId="3" xfId="0" applyNumberFormat="1" applyFont="1" applyBorder="1" applyProtection="1">
      <protection hidden="1"/>
    </xf>
    <xf numFmtId="8" fontId="8" fillId="5" borderId="3" xfId="0" applyNumberFormat="1" applyFont="1" applyFill="1" applyBorder="1" applyProtection="1">
      <protection hidden="1"/>
    </xf>
    <xf numFmtId="2" fontId="8" fillId="5" borderId="0" xfId="0" applyNumberFormat="1" applyFont="1" applyFill="1" applyProtection="1">
      <protection hidden="1"/>
    </xf>
    <xf numFmtId="2" fontId="2" fillId="0" borderId="0" xfId="0" applyNumberFormat="1" applyFont="1" applyProtection="1">
      <protection hidden="1"/>
    </xf>
    <xf numFmtId="2" fontId="2" fillId="5" borderId="0" xfId="0" applyNumberFormat="1" applyFont="1" applyFill="1" applyProtection="1">
      <protection hidden="1"/>
    </xf>
    <xf numFmtId="2" fontId="2" fillId="0" borderId="3" xfId="0" applyNumberFormat="1" applyFont="1" applyBorder="1" applyProtection="1">
      <protection hidden="1"/>
    </xf>
    <xf numFmtId="2" fontId="12" fillId="0" borderId="3" xfId="0" applyNumberFormat="1" applyFont="1" applyBorder="1" applyProtection="1">
      <protection hidden="1"/>
    </xf>
    <xf numFmtId="2" fontId="8" fillId="5" borderId="3" xfId="0" applyNumberFormat="1" applyFont="1" applyFill="1" applyBorder="1" applyProtection="1">
      <protection hidden="1"/>
    </xf>
    <xf numFmtId="2" fontId="12" fillId="0" borderId="0" xfId="0" applyNumberFormat="1" applyFont="1" applyProtection="1">
      <protection hidden="1"/>
    </xf>
    <xf numFmtId="0" fontId="12" fillId="5" borderId="0" xfId="0" applyFont="1" applyFill="1" applyProtection="1">
      <protection hidden="1"/>
    </xf>
    <xf numFmtId="0" fontId="15" fillId="0" borderId="0" xfId="0" applyFont="1" applyProtection="1">
      <protection hidden="1"/>
    </xf>
    <xf numFmtId="0" fontId="15" fillId="5" borderId="0" xfId="0" applyFont="1" applyFill="1" applyProtection="1">
      <protection hidden="1"/>
    </xf>
    <xf numFmtId="0" fontId="8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13" fillId="0" borderId="7" xfId="0" applyFont="1" applyBorder="1" applyProtection="1">
      <protection hidden="1"/>
    </xf>
    <xf numFmtId="0" fontId="2" fillId="0" borderId="7" xfId="0" applyFont="1" applyBorder="1" applyProtection="1">
      <protection hidden="1"/>
    </xf>
    <xf numFmtId="14" fontId="2" fillId="0" borderId="7" xfId="0" applyNumberFormat="1" applyFont="1" applyBorder="1" applyProtection="1">
      <protection hidden="1"/>
    </xf>
    <xf numFmtId="0" fontId="16" fillId="7" borderId="3" xfId="0" applyFont="1" applyFill="1" applyBorder="1" applyAlignment="1" applyProtection="1">
      <alignment horizontal="left" vertical="center" wrapText="1"/>
      <protection hidden="1"/>
    </xf>
    <xf numFmtId="0" fontId="16" fillId="0" borderId="3" xfId="0" applyFont="1" applyBorder="1" applyProtection="1">
      <protection hidden="1"/>
    </xf>
    <xf numFmtId="8" fontId="0" fillId="0" borderId="0" xfId="0" applyNumberFormat="1" applyProtection="1">
      <protection hidden="1"/>
    </xf>
    <xf numFmtId="0" fontId="8" fillId="0" borderId="8" xfId="0" applyFont="1" applyBorder="1" applyProtection="1">
      <protection hidden="1"/>
    </xf>
    <xf numFmtId="0" fontId="2" fillId="0" borderId="11" xfId="0" applyFont="1" applyBorder="1" applyProtection="1">
      <protection hidden="1"/>
    </xf>
    <xf numFmtId="0" fontId="13" fillId="0" borderId="3" xfId="0" applyFont="1" applyBorder="1" applyProtection="1">
      <protection hidden="1"/>
    </xf>
    <xf numFmtId="0" fontId="13" fillId="0" borderId="12" xfId="0" applyFont="1" applyBorder="1" applyProtection="1">
      <protection hidden="1"/>
    </xf>
    <xf numFmtId="0" fontId="13" fillId="0" borderId="11" xfId="0" applyFont="1" applyBorder="1" applyProtection="1">
      <protection hidden="1"/>
    </xf>
    <xf numFmtId="0" fontId="8" fillId="15" borderId="3" xfId="0" applyFont="1" applyFill="1" applyBorder="1" applyProtection="1">
      <protection hidden="1"/>
    </xf>
    <xf numFmtId="0" fontId="2" fillId="0" borderId="12" xfId="0" applyFont="1" applyBorder="1" applyProtection="1">
      <protection hidden="1"/>
    </xf>
    <xf numFmtId="0" fontId="17" fillId="7" borderId="3" xfId="0" applyFont="1" applyFill="1" applyBorder="1" applyAlignment="1" applyProtection="1">
      <alignment horizontal="left" vertical="center" wrapText="1"/>
      <protection hidden="1"/>
    </xf>
    <xf numFmtId="0" fontId="8" fillId="15" borderId="12" xfId="0" applyFont="1" applyFill="1" applyBorder="1" applyProtection="1">
      <protection hidden="1"/>
    </xf>
    <xf numFmtId="0" fontId="13" fillId="0" borderId="13" xfId="0" applyFont="1" applyBorder="1" applyProtection="1">
      <protection hidden="1"/>
    </xf>
    <xf numFmtId="0" fontId="2" fillId="0" borderId="14" xfId="0" applyFont="1" applyBorder="1" applyProtection="1">
      <protection hidden="1"/>
    </xf>
    <xf numFmtId="0" fontId="2" fillId="0" borderId="15" xfId="0" applyFont="1" applyBorder="1" applyProtection="1">
      <protection hidden="1"/>
    </xf>
    <xf numFmtId="0" fontId="18" fillId="5" borderId="0" xfId="0" applyFont="1" applyFill="1"/>
    <xf numFmtId="0" fontId="13" fillId="0" borderId="0" xfId="0" applyFont="1" applyAlignment="1" applyProtection="1">
      <alignment horizontal="right"/>
      <protection hidden="1"/>
    </xf>
    <xf numFmtId="0" fontId="0" fillId="5" borderId="3" xfId="0" applyFill="1" applyBorder="1" applyAlignment="1" applyProtection="1">
      <alignment horizontal="center"/>
      <protection hidden="1"/>
    </xf>
    <xf numFmtId="4" fontId="12" fillId="0" borderId="3" xfId="0" applyNumberFormat="1" applyFont="1" applyBorder="1" applyProtection="1">
      <protection hidden="1"/>
    </xf>
    <xf numFmtId="4" fontId="2" fillId="0" borderId="3" xfId="0" applyNumberFormat="1" applyFont="1" applyBorder="1" applyProtection="1">
      <protection hidden="1"/>
    </xf>
    <xf numFmtId="0" fontId="19" fillId="0" borderId="0" xfId="0" applyFont="1" applyProtection="1">
      <protection hidden="1"/>
    </xf>
    <xf numFmtId="0" fontId="8" fillId="5" borderId="0" xfId="0" applyFont="1" applyFill="1"/>
    <xf numFmtId="2" fontId="2" fillId="4" borderId="3" xfId="0" applyNumberFormat="1" applyFont="1" applyFill="1" applyBorder="1" applyProtection="1">
      <protection hidden="1"/>
    </xf>
    <xf numFmtId="2" fontId="12" fillId="5" borderId="3" xfId="0" applyNumberFormat="1" applyFont="1" applyFill="1" applyBorder="1" applyProtection="1">
      <protection hidden="1"/>
    </xf>
    <xf numFmtId="2" fontId="2" fillId="5" borderId="3" xfId="0" applyNumberFormat="1" applyFont="1" applyFill="1" applyBorder="1" applyProtection="1">
      <protection hidden="1"/>
    </xf>
    <xf numFmtId="2" fontId="0" fillId="0" borderId="0" xfId="0" applyNumberFormat="1" applyProtection="1">
      <protection hidden="1"/>
    </xf>
    <xf numFmtId="0" fontId="2" fillId="0" borderId="16" xfId="0" applyFont="1" applyBorder="1" applyProtection="1">
      <protection hidden="1"/>
    </xf>
    <xf numFmtId="0" fontId="2" fillId="0" borderId="17" xfId="0" applyFont="1" applyBorder="1" applyProtection="1">
      <protection hidden="1"/>
    </xf>
    <xf numFmtId="0" fontId="2" fillId="0" borderId="19" xfId="0" applyFont="1" applyBorder="1" applyProtection="1">
      <protection hidden="1"/>
    </xf>
    <xf numFmtId="0" fontId="2" fillId="0" borderId="20" xfId="0" applyFont="1" applyBorder="1" applyProtection="1">
      <protection hidden="1"/>
    </xf>
    <xf numFmtId="0" fontId="2" fillId="0" borderId="21" xfId="0" applyFont="1" applyBorder="1" applyProtection="1">
      <protection hidden="1"/>
    </xf>
    <xf numFmtId="0" fontId="13" fillId="0" borderId="20" xfId="0" applyFont="1" applyBorder="1" applyProtection="1">
      <protection hidden="1"/>
    </xf>
    <xf numFmtId="0" fontId="8" fillId="5" borderId="20" xfId="0" applyFont="1" applyFill="1" applyBorder="1" applyProtection="1">
      <protection hidden="1"/>
    </xf>
    <xf numFmtId="0" fontId="8" fillId="5" borderId="21" xfId="0" applyFont="1" applyFill="1" applyBorder="1" applyProtection="1">
      <protection hidden="1"/>
    </xf>
    <xf numFmtId="0" fontId="2" fillId="0" borderId="22" xfId="0" applyFont="1" applyBorder="1" applyProtection="1">
      <protection hidden="1"/>
    </xf>
    <xf numFmtId="0" fontId="2" fillId="0" borderId="23" xfId="0" applyFont="1" applyBorder="1" applyProtection="1">
      <protection hidden="1"/>
    </xf>
    <xf numFmtId="0" fontId="13" fillId="0" borderId="23" xfId="0" applyFont="1" applyBorder="1" applyProtection="1">
      <protection hidden="1"/>
    </xf>
    <xf numFmtId="0" fontId="12" fillId="0" borderId="23" xfId="0" applyFont="1" applyBorder="1" applyProtection="1">
      <protection hidden="1"/>
    </xf>
    <xf numFmtId="0" fontId="2" fillId="0" borderId="24" xfId="0" applyFont="1" applyBorder="1" applyProtection="1">
      <protection hidden="1"/>
    </xf>
    <xf numFmtId="165" fontId="8" fillId="0" borderId="0" xfId="0" applyNumberFormat="1" applyFont="1" applyProtection="1">
      <protection hidden="1"/>
    </xf>
    <xf numFmtId="0" fontId="12" fillId="5" borderId="3" xfId="0" applyFont="1" applyFill="1" applyBorder="1" applyProtection="1">
      <protection hidden="1"/>
    </xf>
    <xf numFmtId="4" fontId="2" fillId="3" borderId="4" xfId="2" applyNumberFormat="1" applyFont="1" applyFill="1" applyBorder="1" applyAlignment="1" applyProtection="1">
      <alignment horizontal="center"/>
      <protection hidden="1"/>
    </xf>
    <xf numFmtId="4" fontId="21" fillId="0" borderId="0" xfId="0" applyNumberFormat="1" applyFont="1"/>
    <xf numFmtId="0" fontId="22" fillId="0" borderId="0" xfId="0" applyFont="1" applyProtection="1">
      <protection hidden="1"/>
    </xf>
    <xf numFmtId="4" fontId="21" fillId="0" borderId="0" xfId="0" applyNumberFormat="1" applyFont="1" applyAlignment="1">
      <alignment horizontal="center"/>
    </xf>
    <xf numFmtId="0" fontId="23" fillId="16" borderId="0" xfId="0" applyFont="1" applyFill="1" applyAlignment="1">
      <alignment horizontal="right" vertical="center"/>
    </xf>
    <xf numFmtId="0" fontId="23" fillId="5" borderId="0" xfId="0" applyFont="1" applyFill="1" applyAlignment="1">
      <alignment horizontal="right" vertical="center"/>
    </xf>
    <xf numFmtId="0" fontId="23" fillId="5" borderId="0" xfId="0" applyFont="1" applyFill="1" applyProtection="1">
      <protection hidden="1"/>
    </xf>
    <xf numFmtId="4" fontId="23" fillId="5" borderId="0" xfId="0" applyNumberFormat="1" applyFont="1" applyFill="1"/>
    <xf numFmtId="4" fontId="24" fillId="0" borderId="0" xfId="0" applyNumberFormat="1" applyFont="1"/>
    <xf numFmtId="18" fontId="2" fillId="0" borderId="0" xfId="0" applyNumberFormat="1" applyFont="1" applyProtection="1">
      <protection hidden="1"/>
    </xf>
    <xf numFmtId="0" fontId="25" fillId="9" borderId="3" xfId="0" applyFont="1" applyFill="1" applyBorder="1" applyAlignment="1" applyProtection="1">
      <alignment horizontal="left" vertical="center" wrapText="1"/>
      <protection hidden="1"/>
    </xf>
    <xf numFmtId="0" fontId="25" fillId="0" borderId="3" xfId="0" applyFont="1" applyBorder="1" applyProtection="1">
      <protection hidden="1"/>
    </xf>
    <xf numFmtId="0" fontId="26" fillId="4" borderId="0" xfId="0" applyFont="1" applyFill="1" applyProtection="1">
      <protection hidden="1"/>
    </xf>
    <xf numFmtId="0" fontId="28" fillId="4" borderId="0" xfId="0" applyFont="1" applyFill="1" applyProtection="1">
      <protection hidden="1"/>
    </xf>
    <xf numFmtId="0" fontId="29" fillId="4" borderId="0" xfId="0" applyFont="1" applyFill="1" applyProtection="1">
      <protection hidden="1"/>
    </xf>
    <xf numFmtId="0" fontId="31" fillId="17" borderId="1" xfId="0" applyFont="1" applyFill="1" applyBorder="1" applyAlignment="1" applyProtection="1">
      <alignment horizontal="left" vertical="center"/>
      <protection hidden="1"/>
    </xf>
    <xf numFmtId="0" fontId="33" fillId="0" borderId="3" xfId="0" applyFont="1" applyBorder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0" fontId="31" fillId="17" borderId="5" xfId="0" applyFont="1" applyFill="1" applyBorder="1" applyAlignment="1" applyProtection="1">
      <alignment horizontal="center" vertical="center"/>
      <protection hidden="1"/>
    </xf>
    <xf numFmtId="0" fontId="31" fillId="17" borderId="2" xfId="0" applyFont="1" applyFill="1" applyBorder="1" applyAlignment="1" applyProtection="1">
      <alignment horizontal="left" vertical="center"/>
      <protection hidden="1"/>
    </xf>
    <xf numFmtId="0" fontId="31" fillId="17" borderId="30" xfId="0" applyFont="1" applyFill="1" applyBorder="1" applyAlignment="1" applyProtection="1">
      <alignment horizontal="center" vertical="center"/>
      <protection hidden="1"/>
    </xf>
    <xf numFmtId="0" fontId="34" fillId="15" borderId="3" xfId="0" applyFont="1" applyFill="1" applyBorder="1" applyAlignment="1" applyProtection="1">
      <alignment horizontal="center" vertical="center"/>
      <protection hidden="1"/>
    </xf>
    <xf numFmtId="0" fontId="31" fillId="17" borderId="3" xfId="0" applyFont="1" applyFill="1" applyBorder="1" applyAlignment="1" applyProtection="1">
      <alignment horizontal="left" vertical="center"/>
      <protection hidden="1"/>
    </xf>
    <xf numFmtId="0" fontId="36" fillId="0" borderId="0" xfId="0" applyFont="1" applyAlignment="1" applyProtection="1">
      <alignment horizontal="center" vertical="center" wrapText="1"/>
      <protection hidden="1"/>
    </xf>
    <xf numFmtId="0" fontId="38" fillId="4" borderId="0" xfId="0" applyFont="1" applyFill="1" applyProtection="1">
      <protection hidden="1"/>
    </xf>
    <xf numFmtId="0" fontId="34" fillId="17" borderId="3" xfId="0" applyFont="1" applyFill="1" applyBorder="1" applyAlignment="1" applyProtection="1">
      <alignment horizontal="center" vertical="center" wrapText="1"/>
      <protection hidden="1"/>
    </xf>
    <xf numFmtId="0" fontId="39" fillId="17" borderId="3" xfId="0" applyFont="1" applyFill="1" applyBorder="1" applyAlignment="1" applyProtection="1">
      <alignment horizontal="center" vertical="center" wrapText="1"/>
      <protection hidden="1"/>
    </xf>
    <xf numFmtId="0" fontId="40" fillId="17" borderId="3" xfId="0" applyFont="1" applyFill="1" applyBorder="1" applyAlignment="1" applyProtection="1">
      <alignment horizontal="left" wrapText="1"/>
      <protection hidden="1"/>
    </xf>
    <xf numFmtId="166" fontId="41" fillId="4" borderId="33" xfId="0" applyNumberFormat="1" applyFont="1" applyFill="1" applyBorder="1" applyAlignment="1" applyProtection="1">
      <alignment horizontal="right" vertical="center" wrapText="1" indent="1"/>
      <protection hidden="1"/>
    </xf>
    <xf numFmtId="166" fontId="41" fillId="4" borderId="34" xfId="0" applyNumberFormat="1" applyFont="1" applyFill="1" applyBorder="1" applyAlignment="1" applyProtection="1">
      <alignment horizontal="right" vertical="center" wrapText="1" indent="1"/>
      <protection hidden="1"/>
    </xf>
    <xf numFmtId="0" fontId="42" fillId="17" borderId="35" xfId="0" applyFont="1" applyFill="1" applyBorder="1" applyAlignment="1" applyProtection="1">
      <alignment horizontal="left" vertical="center" wrapText="1"/>
      <protection hidden="1"/>
    </xf>
    <xf numFmtId="166" fontId="41" fillId="4" borderId="3" xfId="0" applyNumberFormat="1" applyFont="1" applyFill="1" applyBorder="1" applyAlignment="1" applyProtection="1">
      <alignment horizontal="right" vertical="center" wrapText="1" indent="1"/>
      <protection hidden="1"/>
    </xf>
    <xf numFmtId="166" fontId="41" fillId="4" borderId="1" xfId="0" applyNumberFormat="1" applyFont="1" applyFill="1" applyBorder="1" applyAlignment="1" applyProtection="1">
      <alignment horizontal="right" vertical="center" wrapText="1" indent="1"/>
      <protection hidden="1"/>
    </xf>
    <xf numFmtId="166" fontId="41" fillId="4" borderId="36" xfId="0" applyNumberFormat="1" applyFont="1" applyFill="1" applyBorder="1" applyAlignment="1" applyProtection="1">
      <alignment horizontal="right" vertical="center" wrapText="1" indent="1"/>
      <protection hidden="1"/>
    </xf>
    <xf numFmtId="0" fontId="42" fillId="17" borderId="37" xfId="0" applyFont="1" applyFill="1" applyBorder="1" applyAlignment="1" applyProtection="1">
      <alignment horizontal="left" vertical="center" wrapText="1"/>
      <protection hidden="1"/>
    </xf>
    <xf numFmtId="0" fontId="42" fillId="17" borderId="33" xfId="0" applyFont="1" applyFill="1" applyBorder="1" applyAlignment="1" applyProtection="1">
      <alignment horizontal="left" vertical="center" wrapText="1"/>
      <protection hidden="1"/>
    </xf>
    <xf numFmtId="0" fontId="43" fillId="17" borderId="3" xfId="0" applyFont="1" applyFill="1" applyBorder="1" applyAlignment="1" applyProtection="1">
      <alignment horizontal="left" vertical="center" wrapText="1"/>
      <protection hidden="1"/>
    </xf>
    <xf numFmtId="0" fontId="42" fillId="17" borderId="3" xfId="0" applyFont="1" applyFill="1" applyBorder="1" applyAlignment="1" applyProtection="1">
      <alignment horizontal="left" vertical="center" wrapText="1"/>
      <protection hidden="1"/>
    </xf>
    <xf numFmtId="0" fontId="40" fillId="17" borderId="1" xfId="0" applyFont="1" applyFill="1" applyBorder="1" applyAlignment="1" applyProtection="1">
      <alignment horizontal="left" wrapText="1"/>
      <protection hidden="1"/>
    </xf>
    <xf numFmtId="166" fontId="41" fillId="4" borderId="35" xfId="0" applyNumberFormat="1" applyFont="1" applyFill="1" applyBorder="1" applyAlignment="1" applyProtection="1">
      <alignment horizontal="right" vertical="center" wrapText="1" indent="1"/>
      <protection hidden="1"/>
    </xf>
    <xf numFmtId="0" fontId="44" fillId="17" borderId="1" xfId="0" applyFont="1" applyFill="1" applyBorder="1" applyAlignment="1" applyProtection="1">
      <alignment horizontal="center" wrapText="1"/>
      <protection hidden="1"/>
    </xf>
    <xf numFmtId="166" fontId="34" fillId="17" borderId="3" xfId="0" applyNumberFormat="1" applyFont="1" applyFill="1" applyBorder="1" applyAlignment="1" applyProtection="1">
      <alignment horizontal="center"/>
      <protection hidden="1"/>
    </xf>
    <xf numFmtId="9" fontId="26" fillId="4" borderId="0" xfId="3" applyFont="1" applyFill="1" applyBorder="1" applyProtection="1">
      <protection hidden="1"/>
    </xf>
    <xf numFmtId="166" fontId="45" fillId="4" borderId="4" xfId="0" applyNumberFormat="1" applyFont="1" applyFill="1" applyBorder="1" applyAlignment="1" applyProtection="1">
      <alignment horizontal="right" vertical="center" wrapText="1" indent="1"/>
      <protection hidden="1"/>
    </xf>
    <xf numFmtId="166" fontId="45" fillId="4" borderId="3" xfId="0" applyNumberFormat="1" applyFont="1" applyFill="1" applyBorder="1" applyAlignment="1" applyProtection="1">
      <alignment horizontal="right" vertical="center" wrapText="1" indent="1"/>
      <protection hidden="1"/>
    </xf>
    <xf numFmtId="0" fontId="40" fillId="17" borderId="3" xfId="0" applyFont="1" applyFill="1" applyBorder="1" applyAlignment="1" applyProtection="1">
      <alignment horizontal="left" vertical="center" wrapText="1"/>
      <protection hidden="1"/>
    </xf>
    <xf numFmtId="166" fontId="3" fillId="4" borderId="4" xfId="0" applyNumberFormat="1" applyFont="1" applyFill="1" applyBorder="1" applyAlignment="1" applyProtection="1">
      <alignment horizontal="right" vertical="center" wrapText="1" indent="1"/>
      <protection hidden="1"/>
    </xf>
    <xf numFmtId="166" fontId="3" fillId="4" borderId="3" xfId="0" applyNumberFormat="1" applyFont="1" applyFill="1" applyBorder="1" applyAlignment="1" applyProtection="1">
      <alignment horizontal="right" vertical="center" wrapText="1" indent="1"/>
      <protection hidden="1"/>
    </xf>
    <xf numFmtId="0" fontId="46" fillId="17" borderId="28" xfId="0" applyFont="1" applyFill="1" applyBorder="1" applyAlignment="1" applyProtection="1">
      <alignment horizontal="center" wrapText="1"/>
      <protection hidden="1"/>
    </xf>
    <xf numFmtId="0" fontId="48" fillId="17" borderId="1" xfId="0" applyFont="1" applyFill="1" applyBorder="1" applyAlignment="1" applyProtection="1">
      <alignment horizontal="center"/>
      <protection hidden="1"/>
    </xf>
    <xf numFmtId="166" fontId="49" fillId="17" borderId="3" xfId="0" applyNumberFormat="1" applyFont="1" applyFill="1" applyBorder="1" applyAlignment="1" applyProtection="1">
      <alignment horizontal="right" vertical="center" wrapText="1" indent="1"/>
      <protection hidden="1"/>
    </xf>
    <xf numFmtId="166" fontId="49" fillId="17" borderId="1" xfId="0" applyNumberFormat="1" applyFont="1" applyFill="1" applyBorder="1" applyAlignment="1" applyProtection="1">
      <alignment horizontal="right" vertical="center" wrapText="1" indent="1"/>
      <protection hidden="1"/>
    </xf>
    <xf numFmtId="167" fontId="38" fillId="4" borderId="0" xfId="3" applyNumberFormat="1" applyFont="1" applyFill="1" applyBorder="1" applyProtection="1">
      <protection hidden="1"/>
    </xf>
    <xf numFmtId="0" fontId="40" fillId="17" borderId="3" xfId="0" applyFont="1" applyFill="1" applyBorder="1" applyAlignment="1" applyProtection="1">
      <alignment horizontal="center" wrapText="1"/>
      <protection hidden="1"/>
    </xf>
    <xf numFmtId="166" fontId="50" fillId="4" borderId="3" xfId="0" applyNumberFormat="1" applyFont="1" applyFill="1" applyBorder="1" applyAlignment="1" applyProtection="1">
      <alignment horizontal="right" vertical="center" wrapText="1" indent="1"/>
      <protection hidden="1"/>
    </xf>
    <xf numFmtId="166" fontId="50" fillId="4" borderId="1" xfId="0" applyNumberFormat="1" applyFont="1" applyFill="1" applyBorder="1" applyAlignment="1" applyProtection="1">
      <alignment horizontal="right" vertical="center" wrapText="1" indent="1"/>
      <protection hidden="1"/>
    </xf>
    <xf numFmtId="4" fontId="51" fillId="0" borderId="38" xfId="0" applyNumberFormat="1" applyFont="1" applyBorder="1" applyAlignment="1" applyProtection="1">
      <alignment horizontal="center" vertical="center"/>
      <protection hidden="1"/>
    </xf>
    <xf numFmtId="0" fontId="47" fillId="17" borderId="1" xfId="0" applyFont="1" applyFill="1" applyBorder="1" applyAlignment="1" applyProtection="1">
      <alignment horizontal="center" wrapText="1"/>
      <protection hidden="1"/>
    </xf>
    <xf numFmtId="0" fontId="40" fillId="17" borderId="1" xfId="0" applyFont="1" applyFill="1" applyBorder="1" applyAlignment="1" applyProtection="1">
      <alignment horizontal="center" wrapText="1"/>
      <protection hidden="1"/>
    </xf>
    <xf numFmtId="167" fontId="26" fillId="4" borderId="0" xfId="3" applyNumberFormat="1" applyFont="1" applyFill="1" applyBorder="1" applyProtection="1">
      <protection hidden="1"/>
    </xf>
    <xf numFmtId="0" fontId="33" fillId="17" borderId="3" xfId="0" applyFont="1" applyFill="1" applyBorder="1" applyAlignment="1" applyProtection="1">
      <alignment horizontal="center" vertical="center" wrapText="1"/>
      <protection hidden="1"/>
    </xf>
    <xf numFmtId="0" fontId="49" fillId="17" borderId="3" xfId="0" applyFont="1" applyFill="1" applyBorder="1" applyAlignment="1" applyProtection="1">
      <alignment horizontal="center" vertical="center" wrapText="1"/>
      <protection hidden="1"/>
    </xf>
    <xf numFmtId="0" fontId="52" fillId="4" borderId="3" xfId="0" applyFont="1" applyFill="1" applyBorder="1" applyAlignment="1" applyProtection="1">
      <alignment horizontal="center" vertical="center" wrapText="1"/>
      <protection hidden="1"/>
    </xf>
    <xf numFmtId="10" fontId="53" fillId="0" borderId="0" xfId="0" applyNumberFormat="1" applyFont="1" applyAlignment="1" applyProtection="1">
      <alignment horizontal="center"/>
      <protection hidden="1"/>
    </xf>
    <xf numFmtId="0" fontId="54" fillId="4" borderId="43" xfId="0" applyFont="1" applyFill="1" applyBorder="1" applyAlignment="1" applyProtection="1">
      <alignment horizontal="center" vertical="center" wrapText="1"/>
      <protection hidden="1"/>
    </xf>
    <xf numFmtId="10" fontId="3" fillId="4" borderId="4" xfId="0" applyNumberFormat="1" applyFont="1" applyFill="1" applyBorder="1" applyAlignment="1" applyProtection="1">
      <alignment horizontal="right" vertical="center" wrapText="1" indent="1"/>
      <protection hidden="1"/>
    </xf>
    <xf numFmtId="0" fontId="26" fillId="4" borderId="45" xfId="0" applyFont="1" applyFill="1" applyBorder="1" applyProtection="1">
      <protection hidden="1"/>
    </xf>
    <xf numFmtId="166" fontId="7" fillId="0" borderId="46" xfId="0" applyNumberFormat="1" applyFont="1" applyBorder="1" applyProtection="1">
      <protection hidden="1"/>
    </xf>
    <xf numFmtId="166" fontId="7" fillId="0" borderId="42" xfId="0" applyNumberFormat="1" applyFont="1" applyBorder="1" applyProtection="1">
      <protection hidden="1"/>
    </xf>
    <xf numFmtId="166" fontId="7" fillId="4" borderId="47" xfId="0" applyNumberFormat="1" applyFont="1" applyFill="1" applyBorder="1" applyProtection="1">
      <protection hidden="1"/>
    </xf>
    <xf numFmtId="0" fontId="56" fillId="0" borderId="48" xfId="0" applyFont="1" applyBorder="1" applyAlignment="1" applyProtection="1">
      <alignment horizontal="center" vertical="top"/>
      <protection hidden="1"/>
    </xf>
    <xf numFmtId="0" fontId="56" fillId="0" borderId="49" xfId="0" applyFont="1" applyBorder="1" applyAlignment="1" applyProtection="1">
      <alignment horizontal="center" vertical="top"/>
      <protection hidden="1"/>
    </xf>
    <xf numFmtId="9" fontId="26" fillId="4" borderId="0" xfId="0" applyNumberFormat="1" applyFont="1" applyFill="1" applyProtection="1">
      <protection hidden="1"/>
    </xf>
    <xf numFmtId="0" fontId="22" fillId="0" borderId="3" xfId="0" applyFont="1" applyBorder="1" applyAlignment="1" applyProtection="1">
      <alignment horizontal="center"/>
      <protection hidden="1"/>
    </xf>
    <xf numFmtId="0" fontId="57" fillId="0" borderId="0" xfId="0" applyFont="1" applyAlignment="1" applyProtection="1">
      <alignment horizontal="center" vertical="center"/>
      <protection hidden="1"/>
    </xf>
    <xf numFmtId="0" fontId="22" fillId="0" borderId="3" xfId="0" applyFont="1" applyBorder="1" applyAlignment="1" applyProtection="1">
      <alignment horizontal="center" wrapText="1"/>
      <protection hidden="1"/>
    </xf>
    <xf numFmtId="0" fontId="58" fillId="4" borderId="1" xfId="0" applyFont="1" applyFill="1" applyBorder="1" applyAlignment="1" applyProtection="1">
      <alignment horizontal="center" vertical="center" wrapText="1"/>
      <protection hidden="1"/>
    </xf>
    <xf numFmtId="0" fontId="59" fillId="6" borderId="1" xfId="0" applyFont="1" applyFill="1" applyBorder="1" applyAlignment="1" applyProtection="1">
      <alignment horizontal="left" vertical="center" wrapText="1"/>
      <protection hidden="1"/>
    </xf>
    <xf numFmtId="166" fontId="22" fillId="0" borderId="3" xfId="1" applyNumberFormat="1" applyFont="1" applyBorder="1" applyAlignment="1" applyProtection="1">
      <alignment horizontal="right"/>
      <protection hidden="1"/>
    </xf>
    <xf numFmtId="0" fontId="59" fillId="3" borderId="1" xfId="0" applyFont="1" applyFill="1" applyBorder="1" applyAlignment="1" applyProtection="1">
      <alignment horizontal="left" vertical="center" wrapText="1"/>
      <protection hidden="1"/>
    </xf>
    <xf numFmtId="0" fontId="59" fillId="7" borderId="1" xfId="0" applyFont="1" applyFill="1" applyBorder="1" applyAlignment="1" applyProtection="1">
      <alignment horizontal="left" vertical="center" wrapText="1"/>
      <protection hidden="1"/>
    </xf>
    <xf numFmtId="0" fontId="22" fillId="4" borderId="0" xfId="0" applyFont="1" applyFill="1" applyProtection="1">
      <protection hidden="1"/>
    </xf>
    <xf numFmtId="0" fontId="59" fillId="8" borderId="1" xfId="0" applyFont="1" applyFill="1" applyBorder="1" applyAlignment="1" applyProtection="1">
      <alignment horizontal="left" vertical="center" wrapText="1"/>
      <protection hidden="1"/>
    </xf>
    <xf numFmtId="0" fontId="59" fillId="9" borderId="1" xfId="0" applyFont="1" applyFill="1" applyBorder="1" applyAlignment="1" applyProtection="1">
      <alignment horizontal="left" vertical="center" wrapText="1"/>
      <protection hidden="1"/>
    </xf>
    <xf numFmtId="0" fontId="22" fillId="9" borderId="1" xfId="0" applyFont="1" applyFill="1" applyBorder="1" applyProtection="1">
      <protection hidden="1"/>
    </xf>
    <xf numFmtId="0" fontId="22" fillId="11" borderId="1" xfId="0" applyFont="1" applyFill="1" applyBorder="1" applyProtection="1">
      <protection hidden="1"/>
    </xf>
    <xf numFmtId="0" fontId="58" fillId="13" borderId="1" xfId="0" applyFont="1" applyFill="1" applyBorder="1" applyAlignment="1" applyProtection="1">
      <alignment horizontal="left" vertical="center" wrapText="1"/>
      <protection hidden="1"/>
    </xf>
    <xf numFmtId="0" fontId="14" fillId="0" borderId="40" xfId="0" applyFont="1" applyBorder="1" applyAlignment="1" applyProtection="1">
      <alignment horizontal="center" vertical="center" wrapText="1"/>
      <protection hidden="1"/>
    </xf>
    <xf numFmtId="0" fontId="14" fillId="0" borderId="42" xfId="0" applyFont="1" applyBorder="1" applyAlignment="1">
      <alignment horizontal="center" vertical="center" wrapText="1"/>
    </xf>
    <xf numFmtId="0" fontId="14" fillId="0" borderId="42" xfId="0" applyFont="1" applyBorder="1"/>
    <xf numFmtId="0" fontId="35" fillId="4" borderId="6" xfId="0" applyFont="1" applyFill="1" applyBorder="1" applyAlignment="1" applyProtection="1">
      <alignment horizontal="center" vertical="center" wrapText="1"/>
      <protection hidden="1"/>
    </xf>
    <xf numFmtId="0" fontId="35" fillId="4" borderId="5" xfId="0" applyFont="1" applyFill="1" applyBorder="1" applyAlignment="1" applyProtection="1">
      <alignment horizontal="center" vertical="center" wrapText="1"/>
      <protection hidden="1"/>
    </xf>
    <xf numFmtId="0" fontId="35" fillId="4" borderId="2" xfId="0" applyFont="1" applyFill="1" applyBorder="1" applyAlignment="1" applyProtection="1">
      <alignment horizontal="center" vertical="center" wrapText="1"/>
      <protection hidden="1"/>
    </xf>
    <xf numFmtId="0" fontId="35" fillId="4" borderId="32" xfId="0" applyFont="1" applyFill="1" applyBorder="1" applyAlignment="1" applyProtection="1">
      <alignment horizontal="center" vertical="center" wrapText="1"/>
      <protection hidden="1"/>
    </xf>
    <xf numFmtId="0" fontId="35" fillId="4" borderId="28" xfId="0" applyFont="1" applyFill="1" applyBorder="1" applyAlignment="1" applyProtection="1">
      <alignment horizontal="center" vertical="center" wrapText="1"/>
      <protection hidden="1"/>
    </xf>
    <xf numFmtId="0" fontId="35" fillId="4" borderId="30" xfId="0" applyFont="1" applyFill="1" applyBorder="1" applyAlignment="1" applyProtection="1">
      <alignment horizontal="center" vertical="center" wrapText="1"/>
      <protection hidden="1"/>
    </xf>
    <xf numFmtId="0" fontId="26" fillId="4" borderId="0" xfId="0" applyFont="1" applyFill="1" applyAlignment="1" applyProtection="1">
      <alignment horizontal="center"/>
      <protection hidden="1"/>
    </xf>
    <xf numFmtId="167" fontId="37" fillId="13" borderId="29" xfId="3" applyNumberFormat="1" applyFont="1" applyFill="1" applyBorder="1" applyAlignment="1" applyProtection="1">
      <alignment horizontal="center"/>
      <protection hidden="1"/>
    </xf>
    <xf numFmtId="0" fontId="55" fillId="17" borderId="0" xfId="0" applyFont="1" applyFill="1" applyAlignment="1" applyProtection="1">
      <alignment horizontal="center" vertical="center"/>
      <protection hidden="1"/>
    </xf>
    <xf numFmtId="0" fontId="33" fillId="19" borderId="35" xfId="0" applyFont="1" applyFill="1" applyBorder="1" applyAlignment="1" applyProtection="1">
      <alignment horizontal="center" vertical="center" wrapText="1"/>
      <protection locked="0" hidden="1"/>
    </xf>
    <xf numFmtId="0" fontId="33" fillId="19" borderId="33" xfId="0" applyFont="1" applyFill="1" applyBorder="1" applyAlignment="1" applyProtection="1">
      <alignment horizontal="center" vertical="center" wrapText="1"/>
      <protection locked="0" hidden="1"/>
    </xf>
    <xf numFmtId="0" fontId="47" fillId="0" borderId="35" xfId="0" applyFont="1" applyBorder="1" applyAlignment="1" applyProtection="1">
      <alignment horizontal="center" wrapText="1"/>
      <protection hidden="1"/>
    </xf>
    <xf numFmtId="0" fontId="47" fillId="0" borderId="34" xfId="0" applyFont="1" applyBorder="1" applyAlignment="1" applyProtection="1">
      <alignment horizontal="center" wrapText="1"/>
      <protection hidden="1"/>
    </xf>
    <xf numFmtId="0" fontId="14" fillId="0" borderId="39" xfId="0" applyFont="1" applyBorder="1" applyAlignment="1" applyProtection="1">
      <alignment horizontal="center" vertical="center" wrapText="1"/>
      <protection hidden="1"/>
    </xf>
    <xf numFmtId="0" fontId="14" fillId="0" borderId="41" xfId="0" applyFont="1" applyBorder="1" applyAlignment="1">
      <alignment horizontal="center" vertical="center" wrapText="1"/>
    </xf>
    <xf numFmtId="0" fontId="14" fillId="0" borderId="44" xfId="0" applyFont="1" applyBorder="1"/>
    <xf numFmtId="9" fontId="34" fillId="15" borderId="1" xfId="0" applyNumberFormat="1" applyFont="1" applyFill="1" applyBorder="1" applyAlignment="1" applyProtection="1">
      <alignment horizontal="center" vertical="center"/>
      <protection locked="0"/>
    </xf>
    <xf numFmtId="0" fontId="0" fillId="15" borderId="4" xfId="0" applyFill="1" applyBorder="1" applyAlignment="1">
      <alignment horizontal="center" vertical="center"/>
    </xf>
    <xf numFmtId="10" fontId="34" fillId="15" borderId="1" xfId="0" applyNumberFormat="1" applyFont="1" applyFill="1" applyBorder="1" applyAlignment="1" applyProtection="1">
      <alignment horizontal="center" vertical="center"/>
      <protection locked="0"/>
    </xf>
    <xf numFmtId="10" fontId="34" fillId="15" borderId="4" xfId="0" applyNumberFormat="1" applyFont="1" applyFill="1" applyBorder="1" applyAlignment="1" applyProtection="1">
      <alignment horizontal="center" vertical="center"/>
      <protection locked="0"/>
    </xf>
    <xf numFmtId="0" fontId="37" fillId="13" borderId="0" xfId="0" applyFont="1" applyFill="1" applyAlignment="1" applyProtection="1">
      <alignment horizontal="center" vertical="center"/>
      <protection hidden="1"/>
    </xf>
    <xf numFmtId="0" fontId="37" fillId="18" borderId="2" xfId="0" applyFont="1" applyFill="1" applyBorder="1" applyAlignment="1" applyProtection="1">
      <alignment horizontal="center" vertical="center" wrapText="1"/>
      <protection hidden="1"/>
    </xf>
    <xf numFmtId="0" fontId="37" fillId="18" borderId="29" xfId="0" applyFont="1" applyFill="1" applyBorder="1" applyAlignment="1" applyProtection="1">
      <alignment horizontal="center" vertical="center" wrapText="1"/>
      <protection hidden="1"/>
    </xf>
    <xf numFmtId="0" fontId="34" fillId="15" borderId="1" xfId="0" applyFont="1" applyFill="1" applyBorder="1" applyAlignment="1" applyProtection="1">
      <alignment horizontal="center" vertical="center"/>
      <protection locked="0"/>
    </xf>
    <xf numFmtId="0" fontId="34" fillId="15" borderId="4" xfId="0" applyFont="1" applyFill="1" applyBorder="1" applyAlignment="1" applyProtection="1">
      <alignment horizontal="center" vertical="center"/>
      <protection locked="0"/>
    </xf>
    <xf numFmtId="9" fontId="34" fillId="15" borderId="4" xfId="0" applyNumberFormat="1" applyFont="1" applyFill="1" applyBorder="1" applyAlignment="1" applyProtection="1">
      <alignment horizontal="center" vertical="center"/>
      <protection locked="0"/>
    </xf>
    <xf numFmtId="0" fontId="27" fillId="4" borderId="25" xfId="0" applyFont="1" applyFill="1" applyBorder="1" applyAlignment="1" applyProtection="1">
      <alignment horizontal="center" vertical="center"/>
      <protection hidden="1"/>
    </xf>
    <xf numFmtId="0" fontId="27" fillId="4" borderId="26" xfId="0" applyFont="1" applyFill="1" applyBorder="1" applyAlignment="1" applyProtection="1">
      <alignment horizontal="center" vertical="center"/>
      <protection hidden="1"/>
    </xf>
    <xf numFmtId="0" fontId="27" fillId="4" borderId="27" xfId="0" applyFont="1" applyFill="1" applyBorder="1" applyAlignment="1" applyProtection="1">
      <alignment horizontal="center" vertical="center"/>
      <protection hidden="1"/>
    </xf>
    <xf numFmtId="0" fontId="30" fillId="4" borderId="28" xfId="0" applyFont="1" applyFill="1" applyBorder="1" applyAlignment="1" applyProtection="1">
      <alignment horizontal="center" vertical="center"/>
      <protection hidden="1"/>
    </xf>
    <xf numFmtId="0" fontId="30" fillId="4" borderId="29" xfId="0" applyFont="1" applyFill="1" applyBorder="1" applyAlignment="1" applyProtection="1">
      <alignment horizontal="center" vertical="center"/>
      <protection hidden="1"/>
    </xf>
    <xf numFmtId="0" fontId="30" fillId="4" borderId="30" xfId="0" applyFont="1" applyFill="1" applyBorder="1" applyAlignment="1" applyProtection="1">
      <alignment horizontal="center" vertical="center"/>
      <protection hidden="1"/>
    </xf>
    <xf numFmtId="0" fontId="32" fillId="15" borderId="1" xfId="0" applyFont="1" applyFill="1" applyBorder="1" applyAlignment="1" applyProtection="1">
      <alignment horizontal="center" vertical="center"/>
      <protection locked="0"/>
    </xf>
    <xf numFmtId="0" fontId="32" fillId="15" borderId="31" xfId="0" applyFont="1" applyFill="1" applyBorder="1" applyAlignment="1" applyProtection="1">
      <alignment horizontal="center" vertical="center"/>
      <protection locked="0"/>
    </xf>
    <xf numFmtId="0" fontId="32" fillId="15" borderId="4" xfId="0" applyFont="1" applyFill="1" applyBorder="1" applyAlignment="1" applyProtection="1">
      <alignment horizontal="center" vertical="center"/>
      <protection locked="0"/>
    </xf>
    <xf numFmtId="1" fontId="34" fillId="15" borderId="1" xfId="0" applyNumberFormat="1" applyFont="1" applyFill="1" applyBorder="1" applyAlignment="1" applyProtection="1">
      <alignment horizontal="center" vertical="center"/>
      <protection locked="0"/>
    </xf>
    <xf numFmtId="1" fontId="34" fillId="15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0" fillId="0" borderId="18" xfId="0" applyBorder="1" applyAlignment="1">
      <alignment horizontal="center" vertical="center" wrapText="1"/>
    </xf>
    <xf numFmtId="0" fontId="20" fillId="0" borderId="0" xfId="0" applyFont="1" applyAlignment="1" applyProtection="1">
      <alignment horizontal="center" vertical="distributed" wrapText="1"/>
      <protection hidden="1"/>
    </xf>
    <xf numFmtId="0" fontId="20" fillId="0" borderId="0" xfId="0" applyFont="1" applyAlignment="1">
      <alignment horizontal="center" vertical="distributed" wrapText="1"/>
    </xf>
    <xf numFmtId="0" fontId="2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 wrapText="1"/>
    </xf>
    <xf numFmtId="0" fontId="0" fillId="3" borderId="0" xfId="0" applyFill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14" fillId="0" borderId="0" xfId="0" applyFont="1" applyAlignment="1">
      <alignment horizontal="center" wrapText="1"/>
    </xf>
    <xf numFmtId="0" fontId="13" fillId="0" borderId="9" xfId="0" applyFont="1" applyBorder="1" applyAlignment="1" applyProtection="1">
      <alignment horizontal="center" wrapText="1"/>
      <protection hidden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</cellXfs>
  <cellStyles count="7">
    <cellStyle name="Euro" xfId="4" xr:uid="{00000000-0005-0000-0000-000031000000}"/>
    <cellStyle name="Millares" xfId="1" builtinId="3"/>
    <cellStyle name="Moneda" xfId="2" builtinId="4"/>
    <cellStyle name="Normal" xfId="0" builtinId="0"/>
    <cellStyle name="Normal 2" xfId="5" xr:uid="{00000000-0005-0000-0000-000032000000}"/>
    <cellStyle name="Normal 3" xfId="6" xr:uid="{00000000-0005-0000-0000-000033000000}"/>
    <cellStyle name="Porcentaje" xfId="3" builtinId="5"/>
  </cellStyles>
  <dxfs count="2">
    <dxf>
      <font>
        <color rgb="FF9C0006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1" baseline="0"/>
              <a:t>DIFERENCIA SALARIAL ANUAL </a:t>
            </a:r>
            <a:endParaRPr lang="es-E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6275531422707498E-2"/>
          <c:y val="4.9800557590946301E-2"/>
          <c:w val="0.92508988298819195"/>
          <c:h val="0.94310028950941804"/>
        </c:manualLayout>
      </c:layout>
      <c:bar3DChart>
        <c:barDir val="col"/>
        <c:grouping val="clustered"/>
        <c:varyColors val="1"/>
        <c:ser>
          <c:idx val="1"/>
          <c:order val="0"/>
          <c:tx>
            <c:v>Diferencia  salarial bruta</c:v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47A-456F-BE1F-1556C017BFE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47A-456F-BE1F-1556C017BFE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47A-456F-BE1F-1556C017BFE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47A-456F-BE1F-1556C017BFE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147A-456F-BE1F-1556C017BFE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147A-456F-BE1F-1556C017BFE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147A-456F-BE1F-1556C017BFE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147A-456F-BE1F-1556C017BFE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147A-456F-BE1F-1556C017BFE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147A-456F-BE1F-1556C017BFE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147A-456F-BE1F-1556C017BFE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147A-456F-BE1F-1556C017BFE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147A-456F-BE1F-1556C017BFE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147A-456F-BE1F-1556C017BFE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147A-456F-BE1F-1556C017BFE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147A-456F-BE1F-1556C017BFE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147A-456F-BE1F-1556C017BFE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147A-456F-BE1F-1556C017BFEF}"/>
              </c:ext>
            </c:extLst>
          </c:dPt>
          <c:dLbls>
            <c:dLbl>
              <c:idx val="14"/>
              <c:layout>
                <c:manualLayout>
                  <c:x val="5.3084975530752199E-3"/>
                  <c:y val="-1.04198074796987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47A-456F-BE1F-1556C017B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'Nómina mensual'!$C$59:$T$59</c:f>
              <c:strCache>
                <c:ptCount val="18"/>
                <c:pt idx="0">
                  <c:v>Andalucía</c:v>
                </c:pt>
                <c:pt idx="1">
                  <c:v>Aragón</c:v>
                </c:pt>
                <c:pt idx="2">
                  <c:v>Asturias</c:v>
                </c:pt>
                <c:pt idx="3">
                  <c:v>Baleares (Islas)</c:v>
                </c:pt>
                <c:pt idx="4">
                  <c:v>Canarias</c:v>
                </c:pt>
                <c:pt idx="5">
                  <c:v>Cantabria</c:v>
                </c:pt>
                <c:pt idx="6">
                  <c:v>Castilla La Mancha</c:v>
                </c:pt>
                <c:pt idx="7">
                  <c:v>Castilla y León</c:v>
                </c:pt>
                <c:pt idx="8">
                  <c:v>Cataluña</c:v>
                </c:pt>
                <c:pt idx="9">
                  <c:v>Extremadura</c:v>
                </c:pt>
                <c:pt idx="10">
                  <c:v>Galicia</c:v>
                </c:pt>
                <c:pt idx="11">
                  <c:v>La Rioja</c:v>
                </c:pt>
                <c:pt idx="12">
                  <c:v>Madrid</c:v>
                </c:pt>
                <c:pt idx="13">
                  <c:v>Murcia</c:v>
                </c:pt>
                <c:pt idx="14">
                  <c:v>Valencia</c:v>
                </c:pt>
                <c:pt idx="15">
                  <c:v>Ceuta y Melilla</c:v>
                </c:pt>
                <c:pt idx="16">
                  <c:v>País Vasco</c:v>
                </c:pt>
                <c:pt idx="17">
                  <c:v>Navarra</c:v>
                </c:pt>
              </c:strCache>
            </c:strRef>
          </c:cat>
          <c:val>
            <c:numRef>
              <c:f>'Nómina mensual'!$C$61:$T$61</c:f>
              <c:numCache>
                <c:formatCode>#,##0.00_ ;[Red]\-#,##0.00\ </c:formatCode>
                <c:ptCount val="18"/>
                <c:pt idx="0">
                  <c:v>6862.6999999999898</c:v>
                </c:pt>
                <c:pt idx="1">
                  <c:v>4706.9360000000015</c:v>
                </c:pt>
                <c:pt idx="2">
                  <c:v>4311.9399999999878</c:v>
                </c:pt>
                <c:pt idx="3">
                  <c:v>10103.399999999994</c:v>
                </c:pt>
                <c:pt idx="4">
                  <c:v>10712.51999999999</c:v>
                </c:pt>
                <c:pt idx="5">
                  <c:v>8639.4399999999878</c:v>
                </c:pt>
                <c:pt idx="6">
                  <c:v>1761.239999999998</c:v>
                </c:pt>
                <c:pt idx="7">
                  <c:v>0</c:v>
                </c:pt>
                <c:pt idx="8">
                  <c:v>-298.72000000000116</c:v>
                </c:pt>
                <c:pt idx="9">
                  <c:v>2443.0400000000009</c:v>
                </c:pt>
                <c:pt idx="10">
                  <c:v>5624.7599999999948</c:v>
                </c:pt>
                <c:pt idx="11">
                  <c:v>2344.6199999999881</c:v>
                </c:pt>
                <c:pt idx="12">
                  <c:v>9135.0679999999847</c:v>
                </c:pt>
                <c:pt idx="13">
                  <c:v>4758.2399999999907</c:v>
                </c:pt>
                <c:pt idx="14">
                  <c:v>6619.5199999999895</c:v>
                </c:pt>
                <c:pt idx="15">
                  <c:v>12680.259999999987</c:v>
                </c:pt>
                <c:pt idx="16">
                  <c:v>5329.1399999999849</c:v>
                </c:pt>
                <c:pt idx="17">
                  <c:v>7627.2799999999988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47A-456F-BE1F-1556C017B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8345152"/>
        <c:axId val="278351712"/>
        <c:axId val="0"/>
      </c:bar3DChart>
      <c:catAx>
        <c:axId val="27834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8351712"/>
        <c:crosses val="autoZero"/>
        <c:auto val="1"/>
        <c:lblAlgn val="ctr"/>
        <c:lblOffset val="100"/>
        <c:noMultiLvlLbl val="0"/>
      </c:catAx>
      <c:valAx>
        <c:axId val="2783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[Red]\-#,##0.00\ " sourceLinked="0"/>
        <c:majorTickMark val="none"/>
        <c:minorTickMark val="cross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834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cbc44e-dd05-4068-ab88-733c4ee1ae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642714</xdr:colOff>
      <xdr:row>1</xdr:row>
      <xdr:rowOff>413054</xdr:rowOff>
    </xdr:from>
    <xdr:to>
      <xdr:col>13</xdr:col>
      <xdr:colOff>115322</xdr:colOff>
      <xdr:row>10</xdr:row>
      <xdr:rowOff>168188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2160" y="565150"/>
          <a:ext cx="2367915" cy="17513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20444</xdr:colOff>
      <xdr:row>0</xdr:row>
      <xdr:rowOff>79575</xdr:rowOff>
    </xdr:from>
    <xdr:to>
      <xdr:col>6</xdr:col>
      <xdr:colOff>63920</xdr:colOff>
      <xdr:row>3</xdr:row>
      <xdr:rowOff>33420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8780" y="79375"/>
          <a:ext cx="980440" cy="749935"/>
        </a:xfrm>
        <a:prstGeom prst="rect">
          <a:avLst/>
        </a:prstGeom>
      </xdr:spPr>
    </xdr:pic>
    <xdr:clientData/>
  </xdr:twoCellAnchor>
  <xdr:twoCellAnchor>
    <xdr:from>
      <xdr:col>1</xdr:col>
      <xdr:colOff>1158875</xdr:colOff>
      <xdr:row>72</xdr:row>
      <xdr:rowOff>285749</xdr:rowOff>
    </xdr:from>
    <xdr:to>
      <xdr:col>13</xdr:col>
      <xdr:colOff>762000</xdr:colOff>
      <xdr:row>137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U124"/>
  <sheetViews>
    <sheetView showGridLines="0" tabSelected="1" showWhiteSpace="0" topLeftCell="B1" zoomScale="70" zoomScaleNormal="70" workbookViewId="0">
      <selection activeCell="H13" sqref="H13"/>
    </sheetView>
  </sheetViews>
  <sheetFormatPr baseColWidth="10" defaultColWidth="11.44140625" defaultRowHeight="12.9" customHeight="1"/>
  <cols>
    <col min="1" max="1" width="2.5546875" style="120" customWidth="1"/>
    <col min="2" max="2" width="46" style="120" customWidth="1"/>
    <col min="3" max="3" width="17" style="120" customWidth="1"/>
    <col min="4" max="4" width="14.44140625" style="120" customWidth="1"/>
    <col min="5" max="5" width="18.109375" style="120" customWidth="1"/>
    <col min="6" max="7" width="13.6640625" style="120" customWidth="1"/>
    <col min="8" max="8" width="14.77734375" style="120" customWidth="1"/>
    <col min="9" max="9" width="13.6640625" style="120" customWidth="1"/>
    <col min="10" max="10" width="14.6640625" style="120" customWidth="1"/>
    <col min="11" max="11" width="13.6640625" style="120" customWidth="1"/>
    <col min="12" max="12" width="14.88671875" style="110" customWidth="1"/>
    <col min="13" max="18" width="13.6640625" style="110" customWidth="1"/>
    <col min="19" max="19" width="14" style="110" customWidth="1"/>
    <col min="20" max="20" width="13.6640625" style="110" customWidth="1"/>
    <col min="21" max="24" width="20.33203125" style="110" customWidth="1"/>
    <col min="25" max="25" width="7" style="120" customWidth="1"/>
    <col min="26" max="26" width="3.109375" style="120" customWidth="1"/>
    <col min="27" max="27" width="41" style="120" customWidth="1"/>
    <col min="28" max="28" width="34.6640625" style="120" customWidth="1"/>
    <col min="29" max="34" width="11.44140625" style="120" customWidth="1"/>
    <col min="35" max="35" width="15.6640625" style="120" customWidth="1"/>
    <col min="36" max="36" width="12.33203125" style="120" customWidth="1"/>
    <col min="37" max="43" width="11.44140625" style="120" customWidth="1"/>
    <col min="44" max="44" width="12.88671875" style="120" customWidth="1"/>
    <col min="45" max="80" width="11.44140625" style="120" customWidth="1"/>
    <col min="81" max="16384" width="11.44140625" style="120"/>
  </cols>
  <sheetData>
    <row r="1" spans="2:24" ht="12" customHeight="1"/>
    <row r="2" spans="2:24" ht="35.700000000000003" customHeight="1">
      <c r="B2" s="224" t="s">
        <v>0</v>
      </c>
      <c r="C2" s="225"/>
      <c r="D2" s="225"/>
      <c r="E2" s="226"/>
      <c r="I2" s="121" t="s">
        <v>1</v>
      </c>
      <c r="K2" s="122"/>
      <c r="M2" s="122"/>
      <c r="N2" s="122"/>
      <c r="O2" s="122"/>
      <c r="P2" s="122"/>
      <c r="Q2" s="122"/>
      <c r="R2" s="122"/>
      <c r="S2" s="122"/>
      <c r="T2" s="122"/>
      <c r="U2" s="122"/>
      <c r="V2" s="120"/>
      <c r="W2" s="120"/>
      <c r="X2" s="120"/>
    </row>
    <row r="3" spans="2:24" ht="15" customHeight="1">
      <c r="B3" s="227" t="s">
        <v>2</v>
      </c>
      <c r="C3" s="228"/>
      <c r="D3" s="228"/>
      <c r="E3" s="229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120"/>
      <c r="W3" s="120"/>
      <c r="X3" s="120"/>
    </row>
    <row r="4" spans="2:24" ht="3.75" customHeight="1"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</row>
    <row r="5" spans="2:24" ht="18.899999999999999" customHeight="1">
      <c r="B5" s="123" t="s">
        <v>3</v>
      </c>
      <c r="C5" s="230" t="s">
        <v>4</v>
      </c>
      <c r="D5" s="231"/>
      <c r="E5" s="231"/>
      <c r="F5" s="232"/>
      <c r="G5" s="123" t="s">
        <v>5</v>
      </c>
      <c r="H5" s="124" t="str">
        <f>IF($C$5="597-Maestros","A2",IF($C$5="596-Maestros de Taller de Artes Plásticas y Diseño","A2",IF($C$5="591-Profesores Técnicos de Formación Profesional","A2","A1")))</f>
        <v>A1</v>
      </c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</row>
    <row r="6" spans="2:24" ht="17.100000000000001" customHeight="1">
      <c r="B6" s="123" t="s">
        <v>6</v>
      </c>
      <c r="C6" s="221" t="s">
        <v>7</v>
      </c>
      <c r="D6" s="222"/>
      <c r="E6" s="198" t="s">
        <v>8</v>
      </c>
      <c r="F6" s="199"/>
      <c r="G6" s="125"/>
      <c r="H6" s="125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</row>
    <row r="7" spans="2:24" ht="17.100000000000001" customHeight="1">
      <c r="B7" s="123" t="s">
        <v>9</v>
      </c>
      <c r="C7" s="233">
        <v>5</v>
      </c>
      <c r="D7" s="234"/>
      <c r="E7" s="200"/>
      <c r="F7" s="201"/>
      <c r="G7" s="125"/>
      <c r="H7" s="125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</row>
    <row r="8" spans="2:24" ht="17.100000000000001" customHeight="1">
      <c r="B8" s="123" t="s">
        <v>10</v>
      </c>
      <c r="C8" s="221" t="s">
        <v>11</v>
      </c>
      <c r="D8" s="222"/>
      <c r="E8" s="200"/>
      <c r="F8" s="201"/>
      <c r="G8" s="125"/>
      <c r="H8" s="125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</row>
    <row r="9" spans="2:24" ht="17.100000000000001" customHeight="1">
      <c r="B9" s="123" t="s">
        <v>12</v>
      </c>
      <c r="C9" s="214" t="s">
        <v>11</v>
      </c>
      <c r="D9" s="223"/>
      <c r="E9" s="200"/>
      <c r="F9" s="201"/>
      <c r="G9" s="126" t="s">
        <v>13</v>
      </c>
      <c r="H9" s="125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</row>
    <row r="10" spans="2:24" ht="15.45" customHeight="1">
      <c r="B10" s="127" t="s">
        <v>14</v>
      </c>
      <c r="C10" s="214" t="s">
        <v>15</v>
      </c>
      <c r="D10" s="223"/>
      <c r="E10" s="200"/>
      <c r="F10" s="201"/>
      <c r="G10" s="128" t="s">
        <v>16</v>
      </c>
      <c r="H10" s="129" t="s">
        <v>17</v>
      </c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</row>
    <row r="11" spans="2:24" ht="17.100000000000001" customHeight="1">
      <c r="B11" s="130" t="s">
        <v>18</v>
      </c>
      <c r="C11" s="214" t="s">
        <v>15</v>
      </c>
      <c r="D11" s="223"/>
      <c r="E11" s="200"/>
      <c r="F11" s="201"/>
      <c r="G11" s="125"/>
      <c r="H11" s="125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</row>
    <row r="12" spans="2:24" ht="17.100000000000001" customHeight="1">
      <c r="B12" s="123" t="s">
        <v>19</v>
      </c>
      <c r="C12" s="214" t="s">
        <v>126</v>
      </c>
      <c r="D12" s="215"/>
      <c r="E12" s="200"/>
      <c r="F12" s="201"/>
      <c r="G12" s="131"/>
      <c r="H12" s="131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</row>
    <row r="13" spans="2:24" ht="17.100000000000001" customHeight="1">
      <c r="B13" s="123" t="s">
        <v>21</v>
      </c>
      <c r="C13" s="214" t="s">
        <v>22</v>
      </c>
      <c r="D13" s="215"/>
      <c r="E13" s="200"/>
      <c r="F13" s="201"/>
      <c r="G13" s="131"/>
      <c r="H13" s="131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</row>
    <row r="14" spans="2:24" ht="17.100000000000001" customHeight="1">
      <c r="B14" s="123" t="s">
        <v>23</v>
      </c>
      <c r="C14" s="216">
        <v>0.24</v>
      </c>
      <c r="D14" s="217"/>
      <c r="E14" s="202"/>
      <c r="F14" s="203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</row>
    <row r="15" spans="2:24" ht="12" customHeight="1">
      <c r="B15" s="218" t="s">
        <v>24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</row>
    <row r="16" spans="2:24" ht="35.1" customHeight="1">
      <c r="B16" s="132"/>
      <c r="C16" s="133" t="s">
        <v>25</v>
      </c>
      <c r="D16" s="133" t="s">
        <v>26</v>
      </c>
      <c r="E16" s="133" t="s">
        <v>27</v>
      </c>
      <c r="F16" s="133" t="s">
        <v>28</v>
      </c>
      <c r="G16" s="133" t="s">
        <v>29</v>
      </c>
      <c r="H16" s="133" t="s">
        <v>30</v>
      </c>
      <c r="I16" s="133" t="s">
        <v>31</v>
      </c>
      <c r="J16" s="133" t="s">
        <v>32</v>
      </c>
      <c r="K16" s="133" t="s">
        <v>33</v>
      </c>
      <c r="L16" s="134" t="s">
        <v>34</v>
      </c>
      <c r="M16" s="133" t="s">
        <v>35</v>
      </c>
      <c r="N16" s="133" t="s">
        <v>36</v>
      </c>
      <c r="O16" s="133" t="s">
        <v>37</v>
      </c>
      <c r="P16" s="133" t="s">
        <v>38</v>
      </c>
      <c r="Q16" s="133" t="s">
        <v>39</v>
      </c>
      <c r="R16" s="133" t="s">
        <v>40</v>
      </c>
      <c r="S16" s="133" t="s">
        <v>41</v>
      </c>
      <c r="T16" s="133" t="s">
        <v>42</v>
      </c>
      <c r="U16" s="132"/>
      <c r="W16" s="120"/>
      <c r="X16" s="120"/>
    </row>
    <row r="17" spans="2:24" ht="14.4">
      <c r="B17" s="135" t="s">
        <v>43</v>
      </c>
      <c r="C17" s="136">
        <f>+AD80</f>
        <v>1387.24</v>
      </c>
      <c r="D17" s="136">
        <f>+AE80</f>
        <v>1387.24</v>
      </c>
      <c r="E17" s="136">
        <f>+AF80</f>
        <v>1387.24</v>
      </c>
      <c r="F17" s="136">
        <f>+AG80</f>
        <v>1387.24</v>
      </c>
      <c r="G17" s="136">
        <f>+AC80</f>
        <v>1387.24</v>
      </c>
      <c r="H17" s="136">
        <f>+AH80</f>
        <v>1387.24</v>
      </c>
      <c r="I17" s="136">
        <f>+AI80</f>
        <v>1387.24</v>
      </c>
      <c r="J17" s="136">
        <f>+AJ80</f>
        <v>1387.24</v>
      </c>
      <c r="K17" s="136">
        <f>+AK80</f>
        <v>1387.24</v>
      </c>
      <c r="L17" s="136">
        <f t="shared" ref="L17:T17" si="0">+AL80</f>
        <v>1387.24</v>
      </c>
      <c r="M17" s="136">
        <f t="shared" si="0"/>
        <v>1387.24</v>
      </c>
      <c r="N17" s="136">
        <f t="shared" si="0"/>
        <v>1387.24</v>
      </c>
      <c r="O17" s="136">
        <f t="shared" si="0"/>
        <v>1387.24</v>
      </c>
      <c r="P17" s="136">
        <f t="shared" si="0"/>
        <v>1387.24</v>
      </c>
      <c r="Q17" s="136">
        <f t="shared" si="0"/>
        <v>1387.24</v>
      </c>
      <c r="R17" s="136">
        <f t="shared" si="0"/>
        <v>1387.24</v>
      </c>
      <c r="S17" s="136">
        <f t="shared" si="0"/>
        <v>1387.24</v>
      </c>
      <c r="T17" s="137">
        <f t="shared" si="0"/>
        <v>2258.75</v>
      </c>
      <c r="U17" s="138" t="s">
        <v>43</v>
      </c>
      <c r="X17" s="120"/>
    </row>
    <row r="18" spans="2:24" ht="28.8">
      <c r="B18" s="135" t="s">
        <v>44</v>
      </c>
      <c r="C18" s="139">
        <f>AD82*INT($C$7/3)</f>
        <v>53.39</v>
      </c>
      <c r="D18" s="139">
        <f>AE82*INT($C$7/3)</f>
        <v>53.39</v>
      </c>
      <c r="E18" s="139">
        <f>AF82*INT($C$7/3)</f>
        <v>53.39</v>
      </c>
      <c r="F18" s="139">
        <f>AG82*INT($C$7/3)</f>
        <v>53.39</v>
      </c>
      <c r="G18" s="139">
        <f>IF($C$10="NO",AC82*INT($C$7/3),0)</f>
        <v>0</v>
      </c>
      <c r="H18" s="139">
        <f t="shared" ref="H18:S18" si="1">AH82*INT($C$7/3)</f>
        <v>53.39</v>
      </c>
      <c r="I18" s="139">
        <f t="shared" si="1"/>
        <v>53.39</v>
      </c>
      <c r="J18" s="139">
        <f t="shared" si="1"/>
        <v>53.39</v>
      </c>
      <c r="K18" s="139">
        <f t="shared" si="1"/>
        <v>53.39</v>
      </c>
      <c r="L18" s="139">
        <f t="shared" si="1"/>
        <v>53.39</v>
      </c>
      <c r="M18" s="139">
        <f t="shared" si="1"/>
        <v>53.39</v>
      </c>
      <c r="N18" s="139">
        <f t="shared" si="1"/>
        <v>53.39</v>
      </c>
      <c r="O18" s="139">
        <f t="shared" si="1"/>
        <v>53.39</v>
      </c>
      <c r="P18" s="139">
        <f t="shared" si="1"/>
        <v>53.39</v>
      </c>
      <c r="Q18" s="139">
        <f t="shared" si="1"/>
        <v>53.39</v>
      </c>
      <c r="R18" s="139">
        <f t="shared" si="1"/>
        <v>53.39</v>
      </c>
      <c r="S18" s="140">
        <f t="shared" si="1"/>
        <v>53.39</v>
      </c>
      <c r="T18" s="141">
        <f>+AT95</f>
        <v>24.15</v>
      </c>
      <c r="U18" s="142" t="s">
        <v>45</v>
      </c>
      <c r="X18" s="120"/>
    </row>
    <row r="19" spans="2:24" ht="14.4">
      <c r="B19" s="135" t="s">
        <v>46</v>
      </c>
      <c r="C19" s="139">
        <f t="shared" ref="C19:F20" si="2">+AD84</f>
        <v>729.14</v>
      </c>
      <c r="D19" s="139">
        <f t="shared" si="2"/>
        <v>729.14</v>
      </c>
      <c r="E19" s="139">
        <f t="shared" si="2"/>
        <v>736.54</v>
      </c>
      <c r="F19" s="139">
        <f t="shared" si="2"/>
        <v>718.36</v>
      </c>
      <c r="G19" s="139">
        <f>+AC84</f>
        <v>728.32</v>
      </c>
      <c r="H19" s="139">
        <f t="shared" ref="H19:K20" si="3">+AH84</f>
        <v>767.49</v>
      </c>
      <c r="I19" s="139">
        <f t="shared" si="3"/>
        <v>729.14</v>
      </c>
      <c r="J19" s="139">
        <f t="shared" si="3"/>
        <v>729.14</v>
      </c>
      <c r="K19" s="139">
        <f t="shared" si="3"/>
        <v>729.14</v>
      </c>
      <c r="L19" s="139">
        <f t="shared" ref="L19:Q21" si="4">+AL84</f>
        <v>729.14</v>
      </c>
      <c r="M19" s="139">
        <f t="shared" si="4"/>
        <v>729.14</v>
      </c>
      <c r="N19" s="139">
        <f t="shared" si="4"/>
        <v>729.14</v>
      </c>
      <c r="O19" s="139">
        <f t="shared" si="4"/>
        <v>729.14</v>
      </c>
      <c r="P19" s="139">
        <f t="shared" si="4"/>
        <v>729.14</v>
      </c>
      <c r="Q19" s="139">
        <f t="shared" ref="Q19:T20" si="5">+AQ84</f>
        <v>729.14</v>
      </c>
      <c r="R19" s="139">
        <f t="shared" si="5"/>
        <v>729.14</v>
      </c>
      <c r="S19" s="139">
        <f t="shared" si="5"/>
        <v>817.32</v>
      </c>
      <c r="T19" s="136">
        <f t="shared" si="5"/>
        <v>0</v>
      </c>
      <c r="U19" s="143"/>
      <c r="V19" s="120"/>
      <c r="W19" s="120"/>
      <c r="X19" s="120"/>
    </row>
    <row r="20" spans="2:24" ht="28.8">
      <c r="B20" s="135" t="s">
        <v>47</v>
      </c>
      <c r="C20" s="139">
        <f t="shared" si="2"/>
        <v>881.46</v>
      </c>
      <c r="D20" s="139">
        <f t="shared" si="2"/>
        <v>756.22</v>
      </c>
      <c r="E20" s="139">
        <f t="shared" si="2"/>
        <v>708.37</v>
      </c>
      <c r="F20" s="139">
        <f t="shared" si="2"/>
        <v>450.98</v>
      </c>
      <c r="G20" s="139">
        <f>+AC85</f>
        <v>757.35</v>
      </c>
      <c r="H20" s="139">
        <f t="shared" si="3"/>
        <v>875.1</v>
      </c>
      <c r="I20" s="139">
        <f t="shared" si="3"/>
        <v>282</v>
      </c>
      <c r="J20" s="139">
        <f t="shared" si="3"/>
        <v>294.2</v>
      </c>
      <c r="K20" s="139">
        <f t="shared" si="3"/>
        <v>720.83</v>
      </c>
      <c r="L20" s="139">
        <f t="shared" si="4"/>
        <v>520.73</v>
      </c>
      <c r="M20" s="139">
        <f t="shared" si="4"/>
        <v>779.29</v>
      </c>
      <c r="N20" s="139">
        <f t="shared" si="4"/>
        <v>909.64</v>
      </c>
      <c r="O20" s="139">
        <f t="shared" si="4"/>
        <v>798.41</v>
      </c>
      <c r="P20" s="139">
        <f t="shared" si="4"/>
        <v>433.42</v>
      </c>
      <c r="Q20" s="139">
        <f t="shared" si="5"/>
        <v>731</v>
      </c>
      <c r="R20" s="139">
        <f t="shared" si="5"/>
        <v>433.91</v>
      </c>
      <c r="S20" s="139">
        <f t="shared" si="5"/>
        <v>1034.6400000000001</v>
      </c>
      <c r="T20" s="139">
        <f t="shared" si="5"/>
        <v>756.23</v>
      </c>
      <c r="U20" s="144" t="s">
        <v>48</v>
      </c>
      <c r="V20" s="120"/>
      <c r="W20" s="120"/>
      <c r="X20" s="120"/>
    </row>
    <row r="21" spans="2:24" ht="14.4">
      <c r="B21" s="135" t="s">
        <v>49</v>
      </c>
      <c r="C21" s="139">
        <f>+AD86</f>
        <v>0</v>
      </c>
      <c r="D21" s="139"/>
      <c r="E21" s="139">
        <f>+AF86</f>
        <v>0</v>
      </c>
      <c r="F21" s="139">
        <f>+AG86</f>
        <v>429.57</v>
      </c>
      <c r="G21" s="139"/>
      <c r="H21" s="139">
        <f>+AH86</f>
        <v>0</v>
      </c>
      <c r="I21" s="139">
        <f>+AI86</f>
        <v>585.97</v>
      </c>
      <c r="J21" s="139">
        <f>+AJ86</f>
        <v>424.79</v>
      </c>
      <c r="K21" s="139">
        <f>+AK86</f>
        <v>0</v>
      </c>
      <c r="L21" s="139">
        <f t="shared" si="4"/>
        <v>181.99</v>
      </c>
      <c r="M21" s="139">
        <f t="shared" si="4"/>
        <v>0</v>
      </c>
      <c r="N21" s="139">
        <f>+AN86</f>
        <v>0</v>
      </c>
      <c r="O21" s="139">
        <f>+AO86</f>
        <v>0</v>
      </c>
      <c r="P21" s="139">
        <f t="shared" si="4"/>
        <v>444.36</v>
      </c>
      <c r="Q21" s="139">
        <f t="shared" si="4"/>
        <v>0</v>
      </c>
      <c r="R21" s="139">
        <f>+AR86</f>
        <v>0</v>
      </c>
      <c r="S21" s="139"/>
      <c r="T21" s="139">
        <f t="shared" ref="T21" si="6">+AT86</f>
        <v>0</v>
      </c>
      <c r="U21" s="145"/>
      <c r="V21" s="120"/>
      <c r="W21" s="120"/>
      <c r="X21" s="120"/>
    </row>
    <row r="22" spans="2:24" ht="14.4">
      <c r="B22" s="135" t="s">
        <v>50</v>
      </c>
      <c r="C22" s="139"/>
      <c r="D22" s="139"/>
      <c r="E22" s="139">
        <f ca="1">IF($C$7&lt;6,+AF87,0)</f>
        <v>113.85</v>
      </c>
      <c r="F22" s="139">
        <f>+AG87</f>
        <v>0</v>
      </c>
      <c r="G22" s="139"/>
      <c r="H22" s="139">
        <f>IF($C$7&lt;6,AH87,0)</f>
        <v>35.770000000000003</v>
      </c>
      <c r="I22" s="139"/>
      <c r="J22" s="139"/>
      <c r="K22" s="139"/>
      <c r="L22" s="139"/>
      <c r="M22" s="139"/>
      <c r="N22" s="139"/>
      <c r="O22" s="139"/>
      <c r="P22" s="139">
        <f>+AP87</f>
        <v>0</v>
      </c>
      <c r="Q22" s="139"/>
      <c r="R22" s="139"/>
      <c r="S22" s="139"/>
      <c r="T22" s="139"/>
      <c r="U22" s="145" t="s">
        <v>51</v>
      </c>
      <c r="V22" s="120"/>
      <c r="W22" s="120"/>
      <c r="X22" s="120"/>
    </row>
    <row r="23" spans="2:24" ht="14.4">
      <c r="B23" s="135" t="s">
        <v>52</v>
      </c>
      <c r="C23" s="139">
        <f>IF($C$7&gt;5,AD88,0)</f>
        <v>0</v>
      </c>
      <c r="D23" s="139">
        <f>IF($C$7&gt;5,AE88,0)</f>
        <v>0</v>
      </c>
      <c r="E23" s="139">
        <f>IF($C$7&gt;5,AF88,0)</f>
        <v>0</v>
      </c>
      <c r="F23" s="139">
        <f>IF($C$7&gt;5,AG88,0)</f>
        <v>0</v>
      </c>
      <c r="G23" s="139">
        <f>IF($C$7&gt;5,AC88,0)</f>
        <v>0</v>
      </c>
      <c r="H23" s="139">
        <f t="shared" ref="H23:S23" si="7">IF($C$7&gt;5,AH88,0)</f>
        <v>0</v>
      </c>
      <c r="I23" s="139">
        <f t="shared" si="7"/>
        <v>0</v>
      </c>
      <c r="J23" s="139">
        <f t="shared" si="7"/>
        <v>0</v>
      </c>
      <c r="K23" s="139">
        <f t="shared" si="7"/>
        <v>0</v>
      </c>
      <c r="L23" s="139">
        <f t="shared" si="7"/>
        <v>0</v>
      </c>
      <c r="M23" s="139">
        <f t="shared" si="7"/>
        <v>0</v>
      </c>
      <c r="N23" s="139">
        <f t="shared" si="7"/>
        <v>0</v>
      </c>
      <c r="O23" s="139">
        <f t="shared" si="7"/>
        <v>0</v>
      </c>
      <c r="P23" s="139">
        <f t="shared" si="7"/>
        <v>0</v>
      </c>
      <c r="Q23" s="139">
        <f t="shared" si="7"/>
        <v>0</v>
      </c>
      <c r="R23" s="139">
        <f t="shared" si="7"/>
        <v>0</v>
      </c>
      <c r="S23" s="139">
        <f t="shared" si="7"/>
        <v>0</v>
      </c>
      <c r="T23" s="139"/>
      <c r="U23" s="145" t="s">
        <v>53</v>
      </c>
      <c r="V23" s="120"/>
      <c r="W23" s="120"/>
      <c r="X23" s="120"/>
    </row>
    <row r="24" spans="2:24" ht="14.4">
      <c r="B24" s="135" t="s">
        <v>54</v>
      </c>
      <c r="C24" s="139">
        <f>IF($C$7&gt;11,AD89,0)</f>
        <v>0</v>
      </c>
      <c r="D24" s="139">
        <f>IF($C$7&gt;11,AE89,0)</f>
        <v>0</v>
      </c>
      <c r="E24" s="139">
        <f>IF($C$7&gt;11,AF89,0)</f>
        <v>0</v>
      </c>
      <c r="F24" s="139">
        <f>IF($C$7&gt;11,AG89,0)</f>
        <v>0</v>
      </c>
      <c r="G24" s="139">
        <f>IF($C$7&gt;11,AC89,0)</f>
        <v>0</v>
      </c>
      <c r="H24" s="139">
        <f t="shared" ref="H24:S24" si="8">IF($C$7&gt;11,AH89,0)</f>
        <v>0</v>
      </c>
      <c r="I24" s="139">
        <f t="shared" si="8"/>
        <v>0</v>
      </c>
      <c r="J24" s="139">
        <f t="shared" si="8"/>
        <v>0</v>
      </c>
      <c r="K24" s="139">
        <f t="shared" si="8"/>
        <v>0</v>
      </c>
      <c r="L24" s="139">
        <f t="shared" si="8"/>
        <v>0</v>
      </c>
      <c r="M24" s="139">
        <f t="shared" si="8"/>
        <v>0</v>
      </c>
      <c r="N24" s="139">
        <f t="shared" si="8"/>
        <v>0</v>
      </c>
      <c r="O24" s="139">
        <f t="shared" si="8"/>
        <v>0</v>
      </c>
      <c r="P24" s="139">
        <f t="shared" si="8"/>
        <v>0</v>
      </c>
      <c r="Q24" s="139">
        <f t="shared" si="8"/>
        <v>0</v>
      </c>
      <c r="R24" s="139">
        <f t="shared" si="8"/>
        <v>0</v>
      </c>
      <c r="S24" s="139">
        <f t="shared" si="8"/>
        <v>0</v>
      </c>
      <c r="T24" s="139"/>
      <c r="U24" s="145" t="s">
        <v>55</v>
      </c>
      <c r="V24" s="120"/>
      <c r="W24" s="120"/>
      <c r="X24" s="120"/>
    </row>
    <row r="25" spans="2:24" ht="14.4">
      <c r="B25" s="135" t="s">
        <v>56</v>
      </c>
      <c r="C25" s="139">
        <f>IF($C$7&gt;17,AD90,0)</f>
        <v>0</v>
      </c>
      <c r="D25" s="139">
        <f>IF($C$7&gt;17,AE90,0)</f>
        <v>0</v>
      </c>
      <c r="E25" s="139">
        <f>IF($C$7&gt;17,AF90,0)</f>
        <v>0</v>
      </c>
      <c r="F25" s="139">
        <f>IF($C$7&gt;17,AG90,0)</f>
        <v>0</v>
      </c>
      <c r="G25" s="139">
        <f>IF($C$7&gt;17,AC90,0)</f>
        <v>0</v>
      </c>
      <c r="H25" s="139">
        <f t="shared" ref="H25:S25" si="9">IF($C$7&gt;17,AH90,0)</f>
        <v>0</v>
      </c>
      <c r="I25" s="139">
        <f t="shared" si="9"/>
        <v>0</v>
      </c>
      <c r="J25" s="139">
        <f t="shared" si="9"/>
        <v>0</v>
      </c>
      <c r="K25" s="139">
        <f t="shared" si="9"/>
        <v>0</v>
      </c>
      <c r="L25" s="139">
        <f t="shared" si="9"/>
        <v>0</v>
      </c>
      <c r="M25" s="139">
        <f t="shared" si="9"/>
        <v>0</v>
      </c>
      <c r="N25" s="139">
        <f t="shared" si="9"/>
        <v>0</v>
      </c>
      <c r="O25" s="139">
        <f t="shared" si="9"/>
        <v>0</v>
      </c>
      <c r="P25" s="139">
        <f t="shared" si="9"/>
        <v>0</v>
      </c>
      <c r="Q25" s="139">
        <f t="shared" si="9"/>
        <v>0</v>
      </c>
      <c r="R25" s="139">
        <f t="shared" si="9"/>
        <v>0</v>
      </c>
      <c r="S25" s="139">
        <f t="shared" si="9"/>
        <v>0</v>
      </c>
      <c r="T25" s="139"/>
      <c r="U25" s="145" t="s">
        <v>57</v>
      </c>
      <c r="V25" s="120"/>
      <c r="W25" s="120"/>
      <c r="X25" s="120"/>
    </row>
    <row r="26" spans="2:24" ht="14.4">
      <c r="B26" s="135" t="s">
        <v>58</v>
      </c>
      <c r="C26" s="139">
        <f>IF($C$7&gt;23,AD91,0)</f>
        <v>0</v>
      </c>
      <c r="D26" s="139">
        <f>IF($C$7&gt;23,AE91,0)</f>
        <v>0</v>
      </c>
      <c r="E26" s="139">
        <f>IF($C$7&gt;23,AF91,0)</f>
        <v>0</v>
      </c>
      <c r="F26" s="139">
        <f>IF($C$7&gt;23,AG91,0)</f>
        <v>0</v>
      </c>
      <c r="G26" s="139">
        <f>IF($C$7&gt;23,AC91,0)</f>
        <v>0</v>
      </c>
      <c r="H26" s="139">
        <f t="shared" ref="H26:S26" si="10">IF($C$7&gt;23,AH91,0)</f>
        <v>0</v>
      </c>
      <c r="I26" s="139">
        <f t="shared" si="10"/>
        <v>0</v>
      </c>
      <c r="J26" s="139">
        <f t="shared" si="10"/>
        <v>0</v>
      </c>
      <c r="K26" s="139">
        <f t="shared" si="10"/>
        <v>0</v>
      </c>
      <c r="L26" s="139">
        <f t="shared" si="10"/>
        <v>0</v>
      </c>
      <c r="M26" s="139">
        <f t="shared" si="10"/>
        <v>0</v>
      </c>
      <c r="N26" s="139">
        <f t="shared" si="10"/>
        <v>0</v>
      </c>
      <c r="O26" s="139">
        <f t="shared" si="10"/>
        <v>0</v>
      </c>
      <c r="P26" s="139">
        <f t="shared" si="10"/>
        <v>0</v>
      </c>
      <c r="Q26" s="139">
        <f t="shared" si="10"/>
        <v>0</v>
      </c>
      <c r="R26" s="139">
        <f t="shared" si="10"/>
        <v>0</v>
      </c>
      <c r="S26" s="139">
        <f t="shared" si="10"/>
        <v>0</v>
      </c>
      <c r="T26" s="139"/>
      <c r="U26" s="145" t="s">
        <v>59</v>
      </c>
      <c r="V26" s="120"/>
      <c r="W26" s="120"/>
      <c r="X26" s="120"/>
    </row>
    <row r="27" spans="2:24" ht="14.4">
      <c r="B27" s="135" t="s">
        <v>60</v>
      </c>
      <c r="C27" s="139">
        <f>IF($C$7&gt;29,AD92,0)</f>
        <v>0</v>
      </c>
      <c r="D27" s="139">
        <f>IF($C$7&gt;29,AE92,0)</f>
        <v>0</v>
      </c>
      <c r="E27" s="139">
        <f>IF($C$7&gt;29,AF92,0)</f>
        <v>0</v>
      </c>
      <c r="F27" s="139">
        <f>IF($C$7&gt;29,AG92,0)</f>
        <v>0</v>
      </c>
      <c r="G27" s="139">
        <f>IF($C$7&gt;29,AC92,0)</f>
        <v>0</v>
      </c>
      <c r="H27" s="139">
        <f t="shared" ref="H27:S27" si="11">IF($C$7&gt;29,AH92,0)</f>
        <v>0</v>
      </c>
      <c r="I27" s="139">
        <f t="shared" si="11"/>
        <v>0</v>
      </c>
      <c r="J27" s="139">
        <f t="shared" si="11"/>
        <v>0</v>
      </c>
      <c r="K27" s="139">
        <f t="shared" si="11"/>
        <v>0</v>
      </c>
      <c r="L27" s="139">
        <f t="shared" si="11"/>
        <v>0</v>
      </c>
      <c r="M27" s="139">
        <f t="shared" si="11"/>
        <v>0</v>
      </c>
      <c r="N27" s="139">
        <f t="shared" si="11"/>
        <v>0</v>
      </c>
      <c r="O27" s="139">
        <f t="shared" si="11"/>
        <v>0</v>
      </c>
      <c r="P27" s="139">
        <f t="shared" si="11"/>
        <v>0</v>
      </c>
      <c r="Q27" s="139">
        <f t="shared" si="11"/>
        <v>0</v>
      </c>
      <c r="R27" s="139">
        <f t="shared" si="11"/>
        <v>0</v>
      </c>
      <c r="S27" s="139">
        <f t="shared" si="11"/>
        <v>0</v>
      </c>
      <c r="T27" s="139"/>
      <c r="U27" s="145" t="s">
        <v>61</v>
      </c>
      <c r="V27" s="120"/>
      <c r="W27" s="120"/>
      <c r="X27" s="120"/>
    </row>
    <row r="28" spans="2:24" ht="14.4">
      <c r="B28" s="135" t="str">
        <f>IF(C11="si","Tutoría"," ")</f>
        <v>Tutoría</v>
      </c>
      <c r="C28" s="139">
        <f>IF($C$11="si",AD93," ")</f>
        <v>31.97</v>
      </c>
      <c r="D28" s="139">
        <f>IF($C$11="si",AE93," ")</f>
        <v>0</v>
      </c>
      <c r="E28" s="139">
        <f>IF($C$11="si",AF93," ")</f>
        <v>0</v>
      </c>
      <c r="F28" s="139">
        <f>IF($C$11="si",AG93," ")</f>
        <v>36.71</v>
      </c>
      <c r="G28" s="139">
        <f>IF($C$11="si",AC93," ")</f>
        <v>35</v>
      </c>
      <c r="H28" s="139">
        <f t="shared" ref="H28:S28" si="12">IF($C$11="si",AH93," ")</f>
        <v>0</v>
      </c>
      <c r="I28" s="139">
        <f t="shared" si="12"/>
        <v>0</v>
      </c>
      <c r="J28" s="139">
        <f t="shared" si="12"/>
        <v>0</v>
      </c>
      <c r="K28" s="139">
        <f t="shared" si="12"/>
        <v>93.6</v>
      </c>
      <c r="L28" s="139">
        <f t="shared" si="12"/>
        <v>47.72</v>
      </c>
      <c r="M28" s="139">
        <f t="shared" si="12"/>
        <v>66.040000000000006</v>
      </c>
      <c r="N28" s="139">
        <f t="shared" si="12"/>
        <v>0</v>
      </c>
      <c r="O28" s="139">
        <f t="shared" si="12"/>
        <v>70.94</v>
      </c>
      <c r="P28" s="139">
        <f t="shared" si="12"/>
        <v>0</v>
      </c>
      <c r="Q28" s="139">
        <f t="shared" si="12"/>
        <v>0</v>
      </c>
      <c r="R28" s="139">
        <f t="shared" si="12"/>
        <v>63.23</v>
      </c>
      <c r="S28" s="139">
        <f t="shared" si="12"/>
        <v>62.45</v>
      </c>
      <c r="T28" s="139"/>
      <c r="U28" s="145" t="s">
        <v>62</v>
      </c>
      <c r="V28" s="120"/>
      <c r="W28" s="120"/>
      <c r="X28" s="120"/>
    </row>
    <row r="29" spans="2:24" ht="14.4">
      <c r="B29" s="135" t="s">
        <v>19</v>
      </c>
      <c r="C29" s="139">
        <f>IF($H$5="A1",INDEX(Retribuciones!W53:AA58,MATCH($C$13,Retribuciones!Q53:Q58,0),MATCH($C$12,Retribuciones!W52:AA52,0)),INDEX(Retribuciones!R53:V58,MATCH($C$13,Retribuciones!Q53:Q58,0),MATCH($C$12,Retribuciones!R52:V52,0)))</f>
        <v>350.9</v>
      </c>
      <c r="D29" s="139">
        <f>IF($H$5="A1",INDEX(Retribuciones!W89:AA94,MATCH($C$13,Retribuciones!Q89:Q94,0),MATCH($C$12,Retribuciones!W88:AA88,0)),INDEX(Retribuciones!R89:V94,MATCH($C$13,Retribuciones!Q89:Q94,0),MATCH($C$12,Retribuciones!R88:V88,0)))</f>
        <v>332.96</v>
      </c>
      <c r="E29" s="139">
        <f>IF($H$5="A1",INDEX(Retribuciones!W125:AA130,MATCH($C$13,Retribuciones!Q125:Q130,0),MATCH($C$12,Retribuciones!W124:AA124,0)),INDEX(Retribuciones!R125:V130,MATCH($C$13,Retribuciones!Q125:Q130,0),MATCH($C$12,Retribuciones!R124:V124,0)))</f>
        <v>0</v>
      </c>
      <c r="F29" s="139">
        <f>IF($H$5="A1",INDEX(Retribuciones!W161:AA166,MATCH($C$13,Retribuciones!Q161:Q166,0),MATCH($C$12,Retribuciones!W160:AA160,0)),INDEX(Retribuciones!R161:V166,MATCH($C$13,Retribuciones!Q161:Q166,0),MATCH($C$12,Retribuciones!R160:V160,0)))</f>
        <v>0</v>
      </c>
      <c r="G29" s="139">
        <f>IF($H$5="A1",INDEX(Retribuciones!W13:AA18,MATCH($C$13,Retribuciones!Q13:Q18,0),MATCH($C$12,Retribuciones!W12:AA12,0)),INDEX(Retribuciones!R13:V18,MATCH($C$13,Retribuciones!Q13:Q18,0),MATCH($C$12,Retribuciones!R12:V12,0)))</f>
        <v>253.88</v>
      </c>
      <c r="H29" s="139">
        <f>IF($H$5="A1",INDEX(Retribuciones!W197:AA202,MATCH($C$13,Retribuciones!Q197:Q202,0),MATCH($C$12,Retribuciones!W196:AA196,0)),INDEX(Retribuciones!R197:V197,MATCH($C$13,Retribuciones!Q197:Q202,0),MATCH($C$12,Retribuciones!R196:V196,0)))</f>
        <v>410.05</v>
      </c>
      <c r="I29" s="139">
        <f>IF($H$5="A1",INDEX(Retribuciones!W233:AA238,MATCH($C$13,Retribuciones!Q233:Q238,0),MATCH($C$12,Retribuciones!W232:AA232,0)),INDEX(Retribuciones!R233:V238,MATCH($C$13,Retribuciones!Q233:Q238,0),MATCH($C$12,Retribuciones!R232:V232,0)))</f>
        <v>0</v>
      </c>
      <c r="J29" s="139">
        <f>IF($H$5="A1",INDEX(Retribuciones!W269:AA274,MATCH($C$13,Retribuciones!Q269:Q274,0),MATCH($C$12,Retribuciones!W268:AA268,0)),INDEX(Retribuciones!R269:V274,MATCH($C$13,Retribuciones!Q269:Q274,0),MATCH($C$12,Retribuciones!R268:V268,0)))</f>
        <v>0</v>
      </c>
      <c r="K29" s="139">
        <f>IF($H$5="A1",INDEX(Retribuciones!W305:AA310,MATCH($C$13,Retribuciones!Q305:Q310,0),MATCH($C$12,Retribuciones!W304:AA304,0)),INDEX(Retribuciones!R305:V310,MATCH($C$13,Retribuciones!Q305:Q310,0),MATCH($C$12,Retribuciones!R304:V304,0)))</f>
        <v>0</v>
      </c>
      <c r="L29" s="139">
        <f>IF($H$5="A1",INDEX(Retribuciones!W341:AA346,MATCH($C$13,Retribuciones!Q341:Q346,0),MATCH($C$12,Retribuciones!W340:AA340,0)),INDEX(Retribuciones!R341:V346,MATCH($C$13,Retribuciones!Q341:Q346,0),MATCH($C$12,Retribuciones!R340:V340,0)))</f>
        <v>213.95</v>
      </c>
      <c r="M29" s="139">
        <f>IF($H$5="A1",INDEX(Retribuciones!W378:AA383,MATCH($C$13,Retribuciones!Q378:Q383,0),MATCH($C$12,Retribuciones!W377:AA377,0)),INDEX(Retribuciones!R378:V383,MATCH($C$13,Retribuciones!Q378:Q383,0),MATCH($C$12,Retribuciones!R377:V377,0)))</f>
        <v>308.04000000000002</v>
      </c>
      <c r="N29" s="139">
        <f>IF($H$5="A1",INDEX(Retribuciones!W413:AA418,MATCH($C$13,Retribuciones!Q413:Q418,0),MATCH($C$12,Retribuciones!W412:AA412,0)),INDEX(Retribuciones!R413:V418,MATCH($C$13,Retribuciones!Q413:Q418,0),MATCH($C$12,Retribuciones!R412:V412,0)))</f>
        <v>0</v>
      </c>
      <c r="O29" s="139">
        <f>IF($H$5="A1",INDEX(Retribuciones!W449:AA454,MATCH($C$13,Retribuciones!Q449:Q454,0),MATCH($C$12,Retribuciones!W448:AA448,0)),INDEX(Retribuciones!R449:V454,MATCH($C$13,Retribuciones!Q449:Q454,0),MATCH($C$12,Retribuciones!R448:V448,0)))</f>
        <v>596.26199999999994</v>
      </c>
      <c r="P29" s="139">
        <f>IF($H$5="A1",INDEX(Retribuciones!W485:AA490,MATCH($C$13,Retribuciones!Q485:Q490,0),MATCH($C$12,Retribuciones!W484:AA484,0)),INDEX(Retribuciones!R485:V490,MATCH($C$13,Retribuciones!Q485:Q490,0),MATCH($C$12,Retribuciones!R484:V484,0)))</f>
        <v>0</v>
      </c>
      <c r="Q29" s="139">
        <f>IF($H$5="A1",INDEX(Retribuciones!W521:AA526,MATCH($C$13,Retribuciones!Q521:Q526,0),MATCH($C$12,Retribuciones!W520:AA520,0)),INDEX(Retribuciones!R521:V526,MATCH($C$13,Retribuciones!Q521:Q526,0),MATCH($C$12,Retribuciones!R520:V520,0)))</f>
        <v>483.99</v>
      </c>
      <c r="R29" s="139">
        <f>IF($H$5="A1",INDEX(Retribuciones!W557:AA562,MATCH($C$13,Retribuciones!Q557:Q562,0),MATCH($C$12,Retribuciones!W556:AA556,0)),INDEX(Retribuciones!R557:V562,MATCH($C$13,Retribuciones!Q557:Q562,0),MATCH($C$12,Retribuciones!R556:V556,0)))</f>
        <v>0</v>
      </c>
      <c r="S29" s="139">
        <f>IF($H$5="A1",INDEX(Retribuciones!W593:AA598,MATCH($C$13,Retribuciones!Q593:Q598,0),MATCH($C$12,Retribuciones!W592:AA592,0)),INDEX(Retribuciones!R593:V598,MATCH($C$13,Retribuciones!Q593:Q598,0),MATCH($C$12,Retribuciones!R592:V592,0)))</f>
        <v>0</v>
      </c>
      <c r="T29" s="139">
        <f>IF($H$5="A1",INDEX(Retribuciones!W629:AA634,MATCH($C$13,Retribuciones!Q629:Q634,0),MATCH($C$12,Retribuciones!W628:AA628,0)),INDEX(Retribuciones!R629:V634,MATCH($C$13,Retribuciones!Q629:Q634,0),MATCH($C$12,Retribuciones!R628:V628,0)))</f>
        <v>338.81</v>
      </c>
      <c r="U29" s="145"/>
      <c r="V29" s="120"/>
      <c r="W29" s="120"/>
      <c r="X29" s="120"/>
    </row>
    <row r="30" spans="2:24" ht="14.4">
      <c r="B30" s="135" t="s">
        <v>63</v>
      </c>
      <c r="C30" s="139"/>
      <c r="D30" s="139"/>
      <c r="E30" s="139"/>
      <c r="F30" s="139">
        <f>IF($H$10="Mallorca",AG94,AG95)</f>
        <v>693.08</v>
      </c>
      <c r="G30" s="139">
        <f>IF($C$10="si",AC95,AC94)</f>
        <v>534.9</v>
      </c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>
        <f>+AR95</f>
        <v>1102.57</v>
      </c>
      <c r="S30" s="139"/>
      <c r="T30" s="139"/>
      <c r="U30" s="145" t="s">
        <v>64</v>
      </c>
      <c r="V30" s="120"/>
      <c r="W30" s="120"/>
      <c r="X30" s="120"/>
    </row>
    <row r="31" spans="2:24" ht="14.4">
      <c r="B31" s="135" t="s">
        <v>65</v>
      </c>
      <c r="C31" s="139"/>
      <c r="D31" s="139"/>
      <c r="E31" s="139"/>
      <c r="F31" s="139"/>
      <c r="G31" s="139">
        <f>IF($C$10="si",AC96*INT($C$7/3)," ")</f>
        <v>37.630000000000003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>
        <f>AR94*INT($C$7/3)</f>
        <v>66.760000000000005</v>
      </c>
      <c r="S31" s="139"/>
      <c r="T31" s="139"/>
      <c r="U31" s="145" t="s">
        <v>66</v>
      </c>
      <c r="V31" s="120"/>
      <c r="W31" s="120"/>
      <c r="X31" s="120"/>
    </row>
    <row r="32" spans="2:24" ht="27.6">
      <c r="B32" s="135" t="s">
        <v>67</v>
      </c>
      <c r="C32" s="139"/>
      <c r="D32" s="139">
        <f>+AE98</f>
        <v>0</v>
      </c>
      <c r="E32" s="139">
        <f>IF($C$7&gt;10,AF99,IF(AND($C$7&gt;5,$C$7&lt;11),AF98,0))</f>
        <v>0</v>
      </c>
      <c r="F32" s="139">
        <f>IF($C$7&gt;12,+AG99,IF($C$7&gt;6,+AG98,0))</f>
        <v>0</v>
      </c>
      <c r="G32" s="139"/>
      <c r="H32" s="139"/>
      <c r="I32" s="139"/>
      <c r="J32" s="139">
        <f>+AJ98</f>
        <v>27.04</v>
      </c>
      <c r="K32" s="139"/>
      <c r="L32" s="139">
        <f>+AL98</f>
        <v>0</v>
      </c>
      <c r="M32" s="139"/>
      <c r="N32" s="139">
        <f>+AN98</f>
        <v>0</v>
      </c>
      <c r="O32" s="139"/>
      <c r="P32" s="139"/>
      <c r="Q32" s="139"/>
      <c r="R32" s="139"/>
      <c r="S32" s="139"/>
      <c r="T32" s="139"/>
      <c r="U32" s="145" t="s">
        <v>68</v>
      </c>
      <c r="X32" s="120"/>
    </row>
    <row r="33" spans="2:24" ht="14.4">
      <c r="B33" s="146" t="str">
        <f>IF(C8="si","Adicional maestros 1º y 2º ESO"," ")</f>
        <v/>
      </c>
      <c r="C33" s="139" t="str">
        <f>IF($C$8="si",AD97," ")</f>
        <v/>
      </c>
      <c r="D33" s="139" t="str">
        <f t="shared" ref="D33:F33" si="13">IF($C$8="si",AE97," ")</f>
        <v/>
      </c>
      <c r="E33" s="139" t="str">
        <f t="shared" si="13"/>
        <v/>
      </c>
      <c r="F33" s="139" t="str">
        <f t="shared" si="13"/>
        <v/>
      </c>
      <c r="G33" s="139" t="str">
        <f>IF($C$8="si",AC97," ")</f>
        <v/>
      </c>
      <c r="H33" s="139" t="str">
        <f>IF($C$8="si",AH97," ")</f>
        <v/>
      </c>
      <c r="I33" s="139" t="str">
        <f t="shared" ref="I33:T33" si="14">IF($C$8="si",AI97," ")</f>
        <v/>
      </c>
      <c r="J33" s="139" t="str">
        <f t="shared" si="14"/>
        <v/>
      </c>
      <c r="K33" s="139" t="str">
        <f t="shared" si="14"/>
        <v/>
      </c>
      <c r="L33" s="139" t="str">
        <f t="shared" si="14"/>
        <v/>
      </c>
      <c r="M33" s="139" t="str">
        <f t="shared" si="14"/>
        <v/>
      </c>
      <c r="N33" s="139" t="str">
        <f t="shared" si="14"/>
        <v/>
      </c>
      <c r="O33" s="139" t="str">
        <f t="shared" si="14"/>
        <v/>
      </c>
      <c r="P33" s="139" t="str">
        <f t="shared" si="14"/>
        <v/>
      </c>
      <c r="Q33" s="139" t="str">
        <f t="shared" si="14"/>
        <v/>
      </c>
      <c r="R33" s="139" t="str">
        <f t="shared" si="14"/>
        <v/>
      </c>
      <c r="S33" s="139" t="str">
        <f t="shared" si="14"/>
        <v/>
      </c>
      <c r="T33" s="139" t="str">
        <f t="shared" si="14"/>
        <v/>
      </c>
      <c r="U33" s="145" t="s">
        <v>69</v>
      </c>
      <c r="X33" s="120"/>
    </row>
    <row r="34" spans="2:24" ht="14.4">
      <c r="B34" s="135" t="str">
        <f>IF($C$9="si","Paga extra, Sueldo Base"," ")</f>
        <v/>
      </c>
      <c r="C34" s="139" t="str">
        <f>IF($C$9="si",AD81," ")</f>
        <v/>
      </c>
      <c r="D34" s="139" t="str">
        <f>IF($C$9="si",AE81," ")</f>
        <v/>
      </c>
      <c r="E34" s="139" t="str">
        <f>IF($C$9="si",AF81," ")</f>
        <v/>
      </c>
      <c r="F34" s="139" t="str">
        <f>IF($C$9="si",AG81," ")</f>
        <v/>
      </c>
      <c r="G34" s="139" t="str">
        <f>IF($C$9="si",AC81," ")</f>
        <v/>
      </c>
      <c r="H34" s="139" t="str">
        <f t="shared" ref="H34:S34" si="15">IF($C$9="si",AH81," ")</f>
        <v/>
      </c>
      <c r="I34" s="139" t="str">
        <f t="shared" si="15"/>
        <v/>
      </c>
      <c r="J34" s="139" t="str">
        <f t="shared" si="15"/>
        <v/>
      </c>
      <c r="K34" s="139" t="str">
        <f t="shared" si="15"/>
        <v/>
      </c>
      <c r="L34" s="139" t="str">
        <f t="shared" si="15"/>
        <v/>
      </c>
      <c r="M34" s="139" t="str">
        <f t="shared" si="15"/>
        <v/>
      </c>
      <c r="N34" s="139" t="str">
        <f t="shared" si="15"/>
        <v/>
      </c>
      <c r="O34" s="139" t="str">
        <f t="shared" si="15"/>
        <v/>
      </c>
      <c r="P34" s="139" t="str">
        <f t="shared" si="15"/>
        <v/>
      </c>
      <c r="Q34" s="139" t="str">
        <f t="shared" si="15"/>
        <v/>
      </c>
      <c r="R34" s="139" t="str">
        <f t="shared" si="15"/>
        <v/>
      </c>
      <c r="S34" s="139" t="str">
        <f t="shared" si="15"/>
        <v/>
      </c>
      <c r="T34" s="139"/>
      <c r="U34" s="145" t="s">
        <v>70</v>
      </c>
      <c r="X34" s="120"/>
    </row>
    <row r="35" spans="2:24" ht="14.4">
      <c r="B35" s="135" t="str">
        <f>IF($C$9="si","Paga extra, Trienios"," ")</f>
        <v/>
      </c>
      <c r="C35" s="139" t="str">
        <f>IF($C$9="si",AD83*INT($C$7/3)," ")</f>
        <v xml:space="preserve"> </v>
      </c>
      <c r="D35" s="139" t="str">
        <f t="shared" ref="D35:F35" si="16">IF($C$9="si",AE83*INT($C$7/3)," ")</f>
        <v xml:space="preserve"> </v>
      </c>
      <c r="E35" s="139" t="str">
        <f t="shared" si="16"/>
        <v xml:space="preserve"> </v>
      </c>
      <c r="F35" s="139" t="str">
        <f t="shared" si="16"/>
        <v xml:space="preserve"> </v>
      </c>
      <c r="G35" s="139" t="str">
        <f>IF($C$9="si",AC83*INT($C$7/3)," ")</f>
        <v xml:space="preserve"> </v>
      </c>
      <c r="H35" s="139" t="str">
        <f>IF($C$9="si",AH83*INT($C$7/3)," ")</f>
        <v xml:space="preserve"> </v>
      </c>
      <c r="I35" s="139" t="str">
        <f t="shared" ref="I35:S35" si="17">IF($C$9="si",AI83*INT($C$7/3)," ")</f>
        <v xml:space="preserve"> </v>
      </c>
      <c r="J35" s="139" t="str">
        <f t="shared" si="17"/>
        <v xml:space="preserve"> </v>
      </c>
      <c r="K35" s="139" t="str">
        <f t="shared" si="17"/>
        <v xml:space="preserve"> </v>
      </c>
      <c r="L35" s="139" t="str">
        <f t="shared" si="17"/>
        <v xml:space="preserve"> </v>
      </c>
      <c r="M35" s="139" t="str">
        <f t="shared" si="17"/>
        <v xml:space="preserve"> </v>
      </c>
      <c r="N35" s="139" t="str">
        <f t="shared" si="17"/>
        <v xml:space="preserve"> </v>
      </c>
      <c r="O35" s="139" t="str">
        <f t="shared" si="17"/>
        <v xml:space="preserve"> </v>
      </c>
      <c r="P35" s="139" t="str">
        <f t="shared" si="17"/>
        <v xml:space="preserve"> </v>
      </c>
      <c r="Q35" s="139" t="str">
        <f t="shared" si="17"/>
        <v xml:space="preserve"> </v>
      </c>
      <c r="R35" s="139" t="str">
        <f t="shared" si="17"/>
        <v xml:space="preserve"> </v>
      </c>
      <c r="S35" s="139" t="str">
        <f t="shared" si="17"/>
        <v xml:space="preserve"> </v>
      </c>
      <c r="T35" s="147"/>
      <c r="U35" s="138" t="s">
        <v>71</v>
      </c>
      <c r="X35" s="120"/>
    </row>
    <row r="36" spans="2:24" ht="14.4">
      <c r="B36" s="135" t="str">
        <f>IF($C$9="si","Paga extra, Complemento Destino"," ")</f>
        <v/>
      </c>
      <c r="C36" s="139" t="str">
        <f>IF($C$9="si",AD84," ")</f>
        <v/>
      </c>
      <c r="D36" s="139" t="str">
        <f t="shared" ref="D36:F36" si="18">IF($C$9="si",AE84," ")</f>
        <v/>
      </c>
      <c r="E36" s="139" t="str">
        <f t="shared" si="18"/>
        <v/>
      </c>
      <c r="F36" s="139" t="str">
        <f t="shared" si="18"/>
        <v/>
      </c>
      <c r="G36" s="139" t="str">
        <f>IF($C$9="si",AC84," ")</f>
        <v/>
      </c>
      <c r="H36" s="139" t="str">
        <f>IF($C$9="si",AH84," ")</f>
        <v/>
      </c>
      <c r="I36" s="139" t="str">
        <f t="shared" ref="I36:S36" si="19">IF($C$9="si",AI84," ")</f>
        <v/>
      </c>
      <c r="J36" s="139" t="str">
        <f t="shared" si="19"/>
        <v/>
      </c>
      <c r="K36" s="139" t="str">
        <f t="shared" si="19"/>
        <v/>
      </c>
      <c r="L36" s="139" t="str">
        <f t="shared" si="19"/>
        <v/>
      </c>
      <c r="M36" s="139" t="str">
        <f t="shared" si="19"/>
        <v/>
      </c>
      <c r="N36" s="139" t="str">
        <f t="shared" si="19"/>
        <v/>
      </c>
      <c r="O36" s="139" t="str">
        <f t="shared" si="19"/>
        <v/>
      </c>
      <c r="P36" s="139" t="str">
        <f t="shared" si="19"/>
        <v/>
      </c>
      <c r="Q36" s="139" t="str">
        <f t="shared" si="19"/>
        <v/>
      </c>
      <c r="R36" s="139" t="str">
        <f t="shared" si="19"/>
        <v/>
      </c>
      <c r="S36" s="140" t="str">
        <f t="shared" si="19"/>
        <v/>
      </c>
      <c r="T36" s="141">
        <f>IF($C$9="si",SUM(T17:T35),0)</f>
        <v>0</v>
      </c>
      <c r="U36" s="142" t="s">
        <v>72</v>
      </c>
      <c r="X36" s="120"/>
    </row>
    <row r="37" spans="2:24" ht="14.4">
      <c r="B37" s="135" t="str">
        <f>IF($C$9="si","Paga extra, Complemento Específico"," ")</f>
        <v/>
      </c>
      <c r="C37" s="139" t="str">
        <f>IF($C$9="si",AD85," ")</f>
        <v/>
      </c>
      <c r="D37" s="139"/>
      <c r="E37" s="139" t="str">
        <f t="shared" ref="E37:F37" si="20">IF($C$9="si",AF85," ")</f>
        <v/>
      </c>
      <c r="F37" s="139" t="str">
        <f t="shared" si="20"/>
        <v/>
      </c>
      <c r="G37" s="139" t="str">
        <f>IF($C$9="si",AC86," ")</f>
        <v/>
      </c>
      <c r="H37" s="139" t="str">
        <f>IF($C$9="si",AH85," ")</f>
        <v/>
      </c>
      <c r="I37" s="139" t="str">
        <f t="shared" ref="I37:S37" si="21">IF($C$9="si",AI85," ")</f>
        <v/>
      </c>
      <c r="J37" s="139" t="str">
        <f t="shared" si="21"/>
        <v/>
      </c>
      <c r="K37" s="139" t="str">
        <f t="shared" si="21"/>
        <v/>
      </c>
      <c r="L37" s="139" t="str">
        <f t="shared" si="21"/>
        <v/>
      </c>
      <c r="M37" s="139" t="str">
        <f t="shared" si="21"/>
        <v/>
      </c>
      <c r="N37" s="139" t="str">
        <f t="shared" si="21"/>
        <v/>
      </c>
      <c r="O37" s="139" t="str">
        <f t="shared" si="21"/>
        <v/>
      </c>
      <c r="P37" s="139" t="str">
        <f>IF($C$9="si",AP85*70%," ")</f>
        <v/>
      </c>
      <c r="Q37" s="139" t="str">
        <f t="shared" si="21"/>
        <v/>
      </c>
      <c r="R37" s="139" t="str">
        <f t="shared" si="21"/>
        <v/>
      </c>
      <c r="S37" s="139" t="str">
        <f t="shared" si="21"/>
        <v/>
      </c>
      <c r="T37" s="136" t="str">
        <f t="shared" ref="T37:T38" si="22">IF($C$9="s",AT85*0.78," ")</f>
        <v/>
      </c>
      <c r="U37" s="3"/>
      <c r="X37" s="120"/>
    </row>
    <row r="38" spans="2:24" ht="14.4">
      <c r="B38" s="135" t="str">
        <f>IF($C$9="si","Paga extra, Complemento Específico Autonómico"," ")</f>
        <v/>
      </c>
      <c r="C38" s="139" t="str">
        <f>IF($C$9="si",AD86," ")</f>
        <v/>
      </c>
      <c r="D38" s="139" t="str">
        <f t="shared" ref="D38:F38" si="23">IF($C$9="si",AE86," ")</f>
        <v/>
      </c>
      <c r="E38" s="139" t="str">
        <f t="shared" si="23"/>
        <v/>
      </c>
      <c r="F38" s="139" t="str">
        <f t="shared" si="23"/>
        <v xml:space="preserve"> </v>
      </c>
      <c r="H38" s="139" t="str">
        <f>IF($C$9="si",AH86," ")</f>
        <v/>
      </c>
      <c r="I38" s="139" t="str">
        <f>IF($C$9="si",AI86," ")</f>
        <v/>
      </c>
      <c r="J38" s="139" t="str">
        <f t="shared" ref="J38:S38" si="24">IF($C$9="si",AJ86," ")</f>
        <v/>
      </c>
      <c r="K38" s="139" t="str">
        <f t="shared" si="24"/>
        <v/>
      </c>
      <c r="L38" s="139" t="str">
        <f t="shared" si="24"/>
        <v/>
      </c>
      <c r="M38" s="139" t="str">
        <f t="shared" si="24"/>
        <v/>
      </c>
      <c r="N38" s="139" t="str">
        <f t="shared" si="24"/>
        <v/>
      </c>
      <c r="O38" s="139" t="str">
        <f t="shared" si="24"/>
        <v/>
      </c>
      <c r="P38" s="139" t="str">
        <f>IF($C$9="si",AP86*60%," ")</f>
        <v/>
      </c>
      <c r="Q38" s="139" t="str">
        <f t="shared" si="24"/>
        <v/>
      </c>
      <c r="R38" s="139" t="str">
        <f t="shared" si="24"/>
        <v/>
      </c>
      <c r="S38" s="139" t="str">
        <f t="shared" si="24"/>
        <v/>
      </c>
      <c r="T38" s="139" t="str">
        <f t="shared" si="22"/>
        <v/>
      </c>
      <c r="U38" s="3"/>
      <c r="X38" s="120"/>
    </row>
    <row r="39" spans="2:24" ht="14.4">
      <c r="B39" s="135" t="str">
        <f>IF($C$9="si","Paga extra, Complemento Sexenios"," ")</f>
        <v/>
      </c>
      <c r="C39" s="139" t="str">
        <f t="shared" ref="C39:O39" si="25">IF($C$9="si",SUM(C22:C27)," ")</f>
        <v xml:space="preserve"> </v>
      </c>
      <c r="D39" s="139" t="str">
        <f t="shared" si="25"/>
        <v xml:space="preserve"> </v>
      </c>
      <c r="E39" s="139" t="str">
        <f t="shared" si="25"/>
        <v xml:space="preserve"> </v>
      </c>
      <c r="F39" s="139" t="str">
        <f t="shared" si="25"/>
        <v xml:space="preserve"> </v>
      </c>
      <c r="G39" s="139" t="str">
        <f t="shared" si="25"/>
        <v xml:space="preserve"> </v>
      </c>
      <c r="H39" s="139" t="str">
        <f t="shared" si="25"/>
        <v xml:space="preserve"> </v>
      </c>
      <c r="I39" s="139" t="str">
        <f t="shared" si="25"/>
        <v xml:space="preserve"> </v>
      </c>
      <c r="J39" s="139" t="str">
        <f t="shared" si="25"/>
        <v xml:space="preserve"> </v>
      </c>
      <c r="K39" s="139" t="str">
        <f t="shared" si="25"/>
        <v xml:space="preserve"> </v>
      </c>
      <c r="L39" s="139" t="str">
        <f t="shared" si="25"/>
        <v xml:space="preserve"> </v>
      </c>
      <c r="M39" s="139" t="str">
        <f t="shared" si="25"/>
        <v xml:space="preserve"> </v>
      </c>
      <c r="N39" s="139" t="str">
        <f t="shared" si="25"/>
        <v xml:space="preserve"> </v>
      </c>
      <c r="O39" s="139" t="str">
        <f t="shared" si="25"/>
        <v xml:space="preserve"> </v>
      </c>
      <c r="P39" s="139" t="str">
        <f>IF($C$9="si",SUM(P23:P27)*64%," ")</f>
        <v xml:space="preserve"> </v>
      </c>
      <c r="Q39" s="139" t="str">
        <f>IF($C$9="si",SUM(Q22:Q27)," ")</f>
        <v xml:space="preserve"> </v>
      </c>
      <c r="R39" s="139" t="str">
        <f>IF($C$9="si",SUM(R22:R27)," ")</f>
        <v xml:space="preserve"> </v>
      </c>
      <c r="S39" s="139" t="str">
        <f>IF($C$9="si",SUM(S22:S27)," ")</f>
        <v xml:space="preserve"> </v>
      </c>
      <c r="T39" s="139" t="str">
        <f>IF($C$9="s",(T23+T24+T25+T26+T27)*0.78," ")</f>
        <v/>
      </c>
      <c r="U39" s="3"/>
      <c r="X39" s="120"/>
    </row>
    <row r="40" spans="2:24" ht="14.4">
      <c r="B40" s="135" t="str">
        <f>IF($C$9="si","Productividad semestral"," ")</f>
        <v/>
      </c>
      <c r="C40" s="139" t="str">
        <f>IF($C$9="si",AD99," ")</f>
        <v/>
      </c>
      <c r="D40" s="139" t="str">
        <f t="shared" ref="D40:F40" si="26">IF($C$9="si",AE99," ")</f>
        <v/>
      </c>
      <c r="E40" s="139"/>
      <c r="F40" s="139" t="str">
        <f t="shared" si="26"/>
        <v/>
      </c>
      <c r="G40" s="139" t="str">
        <f>IF($C$9="si",AC99," ")</f>
        <v/>
      </c>
      <c r="H40" s="139" t="str">
        <f>IF($C$9="si",AH99," ")</f>
        <v/>
      </c>
      <c r="I40" s="139" t="str">
        <f t="shared" ref="I40:S40" si="27">IF($C$9="si",AI99," ")</f>
        <v/>
      </c>
      <c r="J40" s="139" t="str">
        <f t="shared" si="27"/>
        <v/>
      </c>
      <c r="K40" s="139" t="str">
        <f t="shared" si="27"/>
        <v/>
      </c>
      <c r="L40" s="139" t="str">
        <f t="shared" si="27"/>
        <v/>
      </c>
      <c r="M40" s="139" t="str">
        <f t="shared" si="27"/>
        <v/>
      </c>
      <c r="N40" s="139" t="str">
        <f t="shared" si="27"/>
        <v xml:space="preserve"> </v>
      </c>
      <c r="O40" s="139" t="str">
        <f t="shared" si="27"/>
        <v/>
      </c>
      <c r="P40" s="139" t="str">
        <f t="shared" si="27"/>
        <v/>
      </c>
      <c r="Q40" s="139" t="str">
        <f t="shared" si="27"/>
        <v/>
      </c>
      <c r="R40" s="139" t="str">
        <f t="shared" si="27"/>
        <v/>
      </c>
      <c r="S40" s="139" t="str">
        <f t="shared" si="27"/>
        <v/>
      </c>
      <c r="T40" s="139" t="str">
        <f>IF($C$9="s",AT99," ")</f>
        <v/>
      </c>
      <c r="U40" s="3"/>
      <c r="X40" s="120"/>
    </row>
    <row r="41" spans="2:24" ht="14.4">
      <c r="B41" s="148" t="s">
        <v>73</v>
      </c>
      <c r="C41" s="149">
        <f>SUM(C17:C39)</f>
        <v>3434.1</v>
      </c>
      <c r="D41" s="149">
        <f>SUM(D17:D40)</f>
        <v>3258.95</v>
      </c>
      <c r="E41" s="149">
        <f t="shared" ref="E41:O41" ca="1" si="28">SUM(E17:E39)</f>
        <v>2999.39</v>
      </c>
      <c r="F41" s="149">
        <f t="shared" si="28"/>
        <v>3769.3300000000004</v>
      </c>
      <c r="G41" s="149">
        <f t="shared" si="28"/>
        <v>3734.32</v>
      </c>
      <c r="H41" s="149">
        <f t="shared" si="28"/>
        <v>3529.04</v>
      </c>
      <c r="I41" s="149">
        <f t="shared" si="28"/>
        <v>3037.74</v>
      </c>
      <c r="J41" s="149">
        <f t="shared" si="28"/>
        <v>2915.7999999999997</v>
      </c>
      <c r="K41" s="149">
        <f t="shared" si="28"/>
        <v>2984.2</v>
      </c>
      <c r="L41" s="149">
        <f t="shared" si="28"/>
        <v>3134.1599999999994</v>
      </c>
      <c r="M41" s="149">
        <f t="shared" si="28"/>
        <v>3323.14</v>
      </c>
      <c r="N41" s="149">
        <f t="shared" si="28"/>
        <v>3079.41</v>
      </c>
      <c r="O41" s="149">
        <f t="shared" si="28"/>
        <v>3635.3819999999996</v>
      </c>
      <c r="P41" s="149">
        <f>SUM(P17:P40)</f>
        <v>3047.55</v>
      </c>
      <c r="Q41" s="149">
        <f>SUM(Q17:Q39)</f>
        <v>3384.76</v>
      </c>
      <c r="R41" s="149">
        <f>SUM(R17:R39)</f>
        <v>3836.24</v>
      </c>
      <c r="S41" s="149">
        <f>SUM(S17:S39)</f>
        <v>3355.04</v>
      </c>
      <c r="T41" s="149">
        <f>SUM(T17:T21)+T36</f>
        <v>3039.13</v>
      </c>
      <c r="U41" s="3"/>
      <c r="X41" s="120"/>
    </row>
    <row r="42" spans="2:24" ht="12.75" customHeight="1"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</row>
    <row r="43" spans="2:24" ht="12" customHeight="1">
      <c r="B43" s="219" t="s">
        <v>74</v>
      </c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</row>
    <row r="44" spans="2:24" ht="14.4">
      <c r="B44" s="135" t="str">
        <f>IF(C6=AA72,"MUFACE","Contingencias Comunes y MEI")</f>
        <v>MUFACE</v>
      </c>
      <c r="C44" s="151">
        <f t="shared" ref="C44:F44" si="29">IF($C$6="interino",-C56*4.82%,IF($C$9="si",2*AD102,AD102))</f>
        <v>-51.68</v>
      </c>
      <c r="D44" s="151">
        <f t="shared" si="29"/>
        <v>-51.68</v>
      </c>
      <c r="E44" s="151">
        <f t="shared" si="29"/>
        <v>-51.68</v>
      </c>
      <c r="F44" s="151">
        <f t="shared" si="29"/>
        <v>-51.68</v>
      </c>
      <c r="G44" s="151">
        <f>IF($C$6="interino",-G56*4.82%,IF($C$9="si",2*AC102,AC102))</f>
        <v>-51.68</v>
      </c>
      <c r="H44" s="151">
        <f>IF($C$6="interino",-H56*4.82%,IF($C$9="si",2*AH102,AH102))</f>
        <v>-51.68</v>
      </c>
      <c r="I44" s="151">
        <f t="shared" ref="I44:T44" si="30">IF($C$6="interino",-I56*4.82%,IF($C$9="si",2*AI102,AI102))</f>
        <v>-51.68</v>
      </c>
      <c r="J44" s="151">
        <f t="shared" si="30"/>
        <v>-51.68</v>
      </c>
      <c r="K44" s="151">
        <f t="shared" si="30"/>
        <v>-51.68</v>
      </c>
      <c r="L44" s="151">
        <f t="shared" si="30"/>
        <v>-51.68</v>
      </c>
      <c r="M44" s="151">
        <f t="shared" si="30"/>
        <v>-51.68</v>
      </c>
      <c r="N44" s="151">
        <f t="shared" si="30"/>
        <v>-51.68</v>
      </c>
      <c r="O44" s="151">
        <f t="shared" si="30"/>
        <v>-51.68</v>
      </c>
      <c r="P44" s="151">
        <f t="shared" si="30"/>
        <v>-51.68</v>
      </c>
      <c r="Q44" s="151">
        <f t="shared" si="30"/>
        <v>-51.68</v>
      </c>
      <c r="R44" s="151">
        <f t="shared" si="30"/>
        <v>-51.68</v>
      </c>
      <c r="S44" s="151">
        <f t="shared" si="30"/>
        <v>-51.68</v>
      </c>
      <c r="T44" s="151">
        <f t="shared" si="30"/>
        <v>-51.68</v>
      </c>
      <c r="U44" s="3"/>
      <c r="X44" s="120"/>
    </row>
    <row r="45" spans="2:24" ht="14.4">
      <c r="B45" s="135" t="str">
        <f>IF(C6=AA72,"Derechos Pasivos","Cuota Desempleo")</f>
        <v>Derechos Pasivos</v>
      </c>
      <c r="C45" s="151">
        <f>IF($C$6="interino",-C56*1.55%,IF($C$9="si",-2*AD103,-AD103))</f>
        <v>-118.04</v>
      </c>
      <c r="D45" s="151">
        <f t="shared" ref="D45:F45" si="31">IF($C$6="interino",-D56*1.55%,IF($C$9="si",-2*AE103,-AE103))</f>
        <v>-118.04</v>
      </c>
      <c r="E45" s="151">
        <f t="shared" si="31"/>
        <v>-118.04</v>
      </c>
      <c r="F45" s="151">
        <f t="shared" si="31"/>
        <v>-118.04</v>
      </c>
      <c r="G45" s="151">
        <f>IF($C$6="interino",-G56*1.55%,IF($C$9="si",-2*AC103,-AC103))</f>
        <v>-118.04</v>
      </c>
      <c r="H45" s="151">
        <f>IF($C$6="interino",-H56*1.55%,IF($C$9="si",-2*AH103,-AH103))</f>
        <v>-118.04</v>
      </c>
      <c r="I45" s="151">
        <f t="shared" ref="I45:T45" si="32">IF($C$6="interino",-I56*1.55%,IF($C$9="si",-2*AI103,-AI103))</f>
        <v>-118.04</v>
      </c>
      <c r="J45" s="151">
        <f t="shared" si="32"/>
        <v>-118.04</v>
      </c>
      <c r="K45" s="151">
        <f t="shared" si="32"/>
        <v>-118.04</v>
      </c>
      <c r="L45" s="151">
        <f t="shared" si="32"/>
        <v>-118.04</v>
      </c>
      <c r="M45" s="151">
        <f t="shared" si="32"/>
        <v>-118.04</v>
      </c>
      <c r="N45" s="151">
        <f t="shared" si="32"/>
        <v>-118.04</v>
      </c>
      <c r="O45" s="151">
        <f t="shared" si="32"/>
        <v>-118.04</v>
      </c>
      <c r="P45" s="151">
        <f t="shared" si="32"/>
        <v>-118.04</v>
      </c>
      <c r="Q45" s="151">
        <f t="shared" si="32"/>
        <v>-118.04</v>
      </c>
      <c r="R45" s="151">
        <f t="shared" si="32"/>
        <v>-118.04</v>
      </c>
      <c r="S45" s="151">
        <f t="shared" si="32"/>
        <v>-118.04</v>
      </c>
      <c r="T45" s="151">
        <f t="shared" si="32"/>
        <v>-118.04</v>
      </c>
      <c r="U45" s="3"/>
      <c r="X45" s="120"/>
    </row>
    <row r="46" spans="2:24" ht="14.4">
      <c r="B46" s="135" t="str">
        <f>IF(C6=AA72," ","Cuota Formación Profesional")</f>
        <v/>
      </c>
      <c r="C46" s="151" t="str">
        <f t="shared" ref="C46:T46" si="33">IF($C$6="interino",-C56*0.1%," ")</f>
        <v xml:space="preserve"> </v>
      </c>
      <c r="D46" s="152" t="str">
        <f t="shared" si="33"/>
        <v xml:space="preserve"> </v>
      </c>
      <c r="E46" s="152" t="str">
        <f t="shared" si="33"/>
        <v xml:space="preserve"> </v>
      </c>
      <c r="F46" s="152" t="str">
        <f t="shared" si="33"/>
        <v xml:space="preserve"> </v>
      </c>
      <c r="G46" s="152" t="str">
        <f t="shared" si="33"/>
        <v xml:space="preserve"> </v>
      </c>
      <c r="H46" s="152" t="str">
        <f t="shared" si="33"/>
        <v xml:space="preserve"> </v>
      </c>
      <c r="I46" s="152" t="str">
        <f t="shared" si="33"/>
        <v xml:space="preserve"> </v>
      </c>
      <c r="J46" s="152" t="str">
        <f t="shared" si="33"/>
        <v xml:space="preserve"> </v>
      </c>
      <c r="K46" s="152" t="str">
        <f t="shared" si="33"/>
        <v xml:space="preserve"> </v>
      </c>
      <c r="L46" s="152" t="str">
        <f t="shared" si="33"/>
        <v xml:space="preserve"> </v>
      </c>
      <c r="M46" s="152" t="str">
        <f t="shared" si="33"/>
        <v xml:space="preserve"> </v>
      </c>
      <c r="N46" s="152" t="str">
        <f t="shared" si="33"/>
        <v xml:space="preserve"> </v>
      </c>
      <c r="O46" s="152" t="str">
        <f t="shared" si="33"/>
        <v xml:space="preserve"> </v>
      </c>
      <c r="P46" s="152" t="str">
        <f t="shared" si="33"/>
        <v xml:space="preserve"> </v>
      </c>
      <c r="Q46" s="152" t="str">
        <f t="shared" si="33"/>
        <v xml:space="preserve"> </v>
      </c>
      <c r="R46" s="152" t="str">
        <f t="shared" si="33"/>
        <v xml:space="preserve"> </v>
      </c>
      <c r="S46" s="152" t="str">
        <f t="shared" si="33"/>
        <v xml:space="preserve"> </v>
      </c>
      <c r="T46" s="152" t="str">
        <f t="shared" si="33"/>
        <v xml:space="preserve"> </v>
      </c>
      <c r="U46" s="3"/>
      <c r="X46" s="120"/>
    </row>
    <row r="47" spans="2:24" ht="18" customHeight="1">
      <c r="B47" s="135" t="s">
        <v>75</v>
      </c>
      <c r="C47" s="151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3"/>
      <c r="X47" s="120"/>
    </row>
    <row r="48" spans="2:24" ht="14.4">
      <c r="B48" s="153" t="s">
        <v>76</v>
      </c>
      <c r="C48" s="154">
        <f t="shared" ref="C48:T48" si="34">-C41*$C$14</f>
        <v>-824.18399999999997</v>
      </c>
      <c r="D48" s="155">
        <f t="shared" si="34"/>
        <v>-782.14799999999991</v>
      </c>
      <c r="E48" s="155">
        <f t="shared" ca="1" si="34"/>
        <v>-719.85359999999991</v>
      </c>
      <c r="F48" s="155">
        <f t="shared" si="34"/>
        <v>-904.63920000000007</v>
      </c>
      <c r="G48" s="155">
        <f t="shared" si="34"/>
        <v>-896.23680000000002</v>
      </c>
      <c r="H48" s="155">
        <f t="shared" si="34"/>
        <v>-846.96960000000001</v>
      </c>
      <c r="I48" s="155">
        <f t="shared" si="34"/>
        <v>-729.05759999999987</v>
      </c>
      <c r="J48" s="155">
        <f t="shared" si="34"/>
        <v>-699.79199999999992</v>
      </c>
      <c r="K48" s="155">
        <f t="shared" si="34"/>
        <v>-716.20799999999997</v>
      </c>
      <c r="L48" s="155">
        <f t="shared" si="34"/>
        <v>-752.19839999999988</v>
      </c>
      <c r="M48" s="155">
        <f t="shared" si="34"/>
        <v>-797.55359999999996</v>
      </c>
      <c r="N48" s="155">
        <f t="shared" si="34"/>
        <v>-739.05839999999989</v>
      </c>
      <c r="O48" s="155">
        <f t="shared" si="34"/>
        <v>-872.49167999999986</v>
      </c>
      <c r="P48" s="155">
        <f t="shared" si="34"/>
        <v>-731.41200000000003</v>
      </c>
      <c r="Q48" s="155">
        <f t="shared" si="34"/>
        <v>-812.3424</v>
      </c>
      <c r="R48" s="155">
        <f t="shared" si="34"/>
        <v>-920.69759999999997</v>
      </c>
      <c r="S48" s="155">
        <f t="shared" si="34"/>
        <v>-805.20959999999991</v>
      </c>
      <c r="T48" s="155">
        <f t="shared" si="34"/>
        <v>-729.39120000000003</v>
      </c>
      <c r="U48" s="3"/>
      <c r="X48" s="120"/>
    </row>
    <row r="49" spans="2:25" ht="14.4">
      <c r="B49" s="156" t="s">
        <v>77</v>
      </c>
      <c r="C49" s="155">
        <f t="shared" ref="C49:T49" si="35">SUM(C44:C48)</f>
        <v>-993.904</v>
      </c>
      <c r="D49" s="155">
        <f t="shared" si="35"/>
        <v>-951.86799999999994</v>
      </c>
      <c r="E49" s="155">
        <f t="shared" ca="1" si="35"/>
        <v>-889.57359999999994</v>
      </c>
      <c r="F49" s="155">
        <f t="shared" si="35"/>
        <v>-1074.3592000000001</v>
      </c>
      <c r="G49" s="155">
        <f t="shared" si="35"/>
        <v>-1065.9567999999999</v>
      </c>
      <c r="H49" s="155">
        <f t="shared" si="35"/>
        <v>-1016.6896</v>
      </c>
      <c r="I49" s="155">
        <f t="shared" si="35"/>
        <v>-898.77759999999989</v>
      </c>
      <c r="J49" s="155">
        <f t="shared" si="35"/>
        <v>-869.51199999999994</v>
      </c>
      <c r="K49" s="155">
        <f t="shared" si="35"/>
        <v>-885.928</v>
      </c>
      <c r="L49" s="155">
        <f t="shared" si="35"/>
        <v>-921.91839999999991</v>
      </c>
      <c r="M49" s="155">
        <f t="shared" si="35"/>
        <v>-967.27359999999999</v>
      </c>
      <c r="N49" s="155">
        <f t="shared" si="35"/>
        <v>-908.77839999999992</v>
      </c>
      <c r="O49" s="155">
        <f t="shared" si="35"/>
        <v>-1042.2116799999999</v>
      </c>
      <c r="P49" s="155">
        <f t="shared" si="35"/>
        <v>-901.13200000000006</v>
      </c>
      <c r="Q49" s="155">
        <f t="shared" si="35"/>
        <v>-982.06240000000003</v>
      </c>
      <c r="R49" s="155">
        <f t="shared" si="35"/>
        <v>-1090.4176</v>
      </c>
      <c r="S49" s="155">
        <f t="shared" si="35"/>
        <v>-974.92959999999994</v>
      </c>
      <c r="T49" s="155">
        <f t="shared" si="35"/>
        <v>-899.11120000000005</v>
      </c>
      <c r="U49" s="3"/>
      <c r="X49" s="120"/>
    </row>
    <row r="50" spans="2:25" ht="5.7" customHeight="1"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209" t="s">
        <v>78</v>
      </c>
    </row>
    <row r="51" spans="2:25" ht="15" customHeight="1">
      <c r="B51" s="157" t="s">
        <v>79</v>
      </c>
      <c r="C51" s="158">
        <f t="shared" ref="C51:T51" si="36">+C41+C49</f>
        <v>2440.1959999999999</v>
      </c>
      <c r="D51" s="158">
        <f t="shared" si="36"/>
        <v>2307.0819999999999</v>
      </c>
      <c r="E51" s="158">
        <f t="shared" ca="1" si="36"/>
        <v>2109.8163999999997</v>
      </c>
      <c r="F51" s="158">
        <f t="shared" si="36"/>
        <v>2694.9708000000001</v>
      </c>
      <c r="G51" s="158">
        <f t="shared" si="36"/>
        <v>2668.3632000000002</v>
      </c>
      <c r="H51" s="158">
        <f t="shared" si="36"/>
        <v>2512.3503999999998</v>
      </c>
      <c r="I51" s="158">
        <f t="shared" si="36"/>
        <v>2138.9623999999999</v>
      </c>
      <c r="J51" s="158">
        <f t="shared" si="36"/>
        <v>2046.2879999999998</v>
      </c>
      <c r="K51" s="158">
        <f t="shared" si="36"/>
        <v>2098.2719999999999</v>
      </c>
      <c r="L51" s="158">
        <f t="shared" si="36"/>
        <v>2212.2415999999994</v>
      </c>
      <c r="M51" s="158">
        <f t="shared" si="36"/>
        <v>2355.8663999999999</v>
      </c>
      <c r="N51" s="158">
        <f t="shared" si="36"/>
        <v>2170.6315999999997</v>
      </c>
      <c r="O51" s="158">
        <f t="shared" si="36"/>
        <v>2593.1703199999997</v>
      </c>
      <c r="P51" s="158">
        <f t="shared" si="36"/>
        <v>2146.4180000000001</v>
      </c>
      <c r="Q51" s="158">
        <f t="shared" si="36"/>
        <v>2402.6976000000004</v>
      </c>
      <c r="R51" s="158">
        <f t="shared" si="36"/>
        <v>2745.8224</v>
      </c>
      <c r="S51" s="158">
        <f t="shared" si="36"/>
        <v>2380.1104</v>
      </c>
      <c r="T51" s="159">
        <f t="shared" si="36"/>
        <v>2140.0187999999998</v>
      </c>
      <c r="U51" s="210"/>
    </row>
    <row r="52" spans="2:25" ht="5.25" customHeight="1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210"/>
    </row>
    <row r="53" spans="2:25" ht="15" customHeight="1">
      <c r="B53" s="161" t="s">
        <v>80</v>
      </c>
      <c r="C53" s="162">
        <f>+AD104</f>
        <v>46526.579999999994</v>
      </c>
      <c r="D53" s="162">
        <f>+AE104</f>
        <v>44370.816000000006</v>
      </c>
      <c r="E53" s="162">
        <f ca="1">+AF104</f>
        <v>43975.819999999992</v>
      </c>
      <c r="F53" s="162">
        <f>+AG104</f>
        <v>49767.28</v>
      </c>
      <c r="G53" s="162">
        <f>+AC104</f>
        <v>50376.399999999994</v>
      </c>
      <c r="H53" s="162">
        <f>+AH104</f>
        <v>48303.319999999992</v>
      </c>
      <c r="I53" s="162">
        <f>+AI104</f>
        <v>41425.120000000003</v>
      </c>
      <c r="J53" s="162">
        <f>+AJ104</f>
        <v>39663.880000000005</v>
      </c>
      <c r="K53" s="162">
        <f>+AK104</f>
        <v>39365.160000000003</v>
      </c>
      <c r="L53" s="162">
        <f t="shared" ref="L53:T53" si="37">+AL104</f>
        <v>42106.920000000006</v>
      </c>
      <c r="M53" s="162">
        <f t="shared" si="37"/>
        <v>45288.639999999999</v>
      </c>
      <c r="N53" s="162">
        <f t="shared" si="37"/>
        <v>42008.499999999993</v>
      </c>
      <c r="O53" s="162">
        <f t="shared" si="37"/>
        <v>48798.947999999989</v>
      </c>
      <c r="P53" s="162">
        <f t="shared" si="37"/>
        <v>44422.119999999995</v>
      </c>
      <c r="Q53" s="162">
        <f t="shared" si="37"/>
        <v>46283.399999999994</v>
      </c>
      <c r="R53" s="162">
        <f t="shared" si="37"/>
        <v>52344.139999999992</v>
      </c>
      <c r="S53" s="162">
        <f t="shared" si="37"/>
        <v>44993.01999999999</v>
      </c>
      <c r="T53" s="163">
        <f t="shared" si="37"/>
        <v>47291.16</v>
      </c>
      <c r="U53" s="164">
        <f ca="1">SUM(C53:T53)/18</f>
        <v>45406.179111111116</v>
      </c>
    </row>
    <row r="54" spans="2:25" ht="39">
      <c r="B54" s="165" t="str">
        <f>IF(C6="carrera","Cuantía desgravable en la Declaración de la Renta: Derechos Pasivos, MUFACE y cuota sindical","Cuantía desgravable en a Declaración de la Renta: Seguridad Social y cuota sindical")</f>
        <v>Cuantía desgravable en la Declaración de la Renta: Derechos Pasivos, MUFACE y cuota sindical</v>
      </c>
      <c r="C54" s="155">
        <f>IF($C6="carrera",(+(AD102+AD103)*14)+(C47*12),-(C53*6.35%)-(C47*12))</f>
        <v>929.04000000000019</v>
      </c>
      <c r="D54" s="155">
        <f>IF($C6="carrera",(+(AE102+AE103)*14)+(D47*12),-(D53*6.35%)-(D47*12))</f>
        <v>929.04000000000019</v>
      </c>
      <c r="E54" s="155">
        <f>IF($C6="carrera",(+(AF102+AF103)*14)+(E47*12),-(E53*6.35%)-(E47*12))</f>
        <v>929.04000000000019</v>
      </c>
      <c r="F54" s="155">
        <f>IF($C6="carrera",(+(AG102+AG103)*14)+(F47*12),-(F53*6.35%)-(F47*12))</f>
        <v>929.04000000000019</v>
      </c>
      <c r="G54" s="155">
        <f>IF($C6="carrera",(+(AC102+AC103)*14)+(G47*12),-(G53*6.35%)-(G47*12))</f>
        <v>929.04000000000019</v>
      </c>
      <c r="H54" s="155">
        <f t="shared" ref="H54:T54" si="38">IF($C6="carrera",(+(AH102+AH103)*14)+(H47*12),-(H53*6.35%)-(H47*12))</f>
        <v>929.04000000000019</v>
      </c>
      <c r="I54" s="155">
        <f t="shared" si="38"/>
        <v>929.04000000000019</v>
      </c>
      <c r="J54" s="155">
        <f t="shared" si="38"/>
        <v>929.04000000000019</v>
      </c>
      <c r="K54" s="155">
        <f t="shared" si="38"/>
        <v>929.04000000000019</v>
      </c>
      <c r="L54" s="155">
        <f t="shared" si="38"/>
        <v>929.04000000000019</v>
      </c>
      <c r="M54" s="155">
        <f t="shared" si="38"/>
        <v>929.04000000000019</v>
      </c>
      <c r="N54" s="155">
        <f t="shared" si="38"/>
        <v>929.04000000000019</v>
      </c>
      <c r="O54" s="155">
        <f t="shared" si="38"/>
        <v>929.04000000000019</v>
      </c>
      <c r="P54" s="155">
        <f t="shared" si="38"/>
        <v>929.04000000000019</v>
      </c>
      <c r="Q54" s="155">
        <f t="shared" si="38"/>
        <v>929.04000000000019</v>
      </c>
      <c r="R54" s="155">
        <f t="shared" si="38"/>
        <v>929.04000000000019</v>
      </c>
      <c r="S54" s="155">
        <f t="shared" si="38"/>
        <v>929.04000000000019</v>
      </c>
      <c r="T54" s="155">
        <f t="shared" si="38"/>
        <v>929.04000000000019</v>
      </c>
      <c r="U54" s="3"/>
    </row>
    <row r="55" spans="2:25" ht="5.7" customHeight="1"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3"/>
      <c r="X55" s="120"/>
    </row>
    <row r="56" spans="2:25" ht="14.4">
      <c r="B56" s="166" t="str">
        <f>IF(C6="interino","Base cotización Seguridad Social"," ")</f>
        <v/>
      </c>
      <c r="C56" s="152" t="str">
        <f t="shared" ref="C56:T56" si="39">IF($C$6="interino",+C53/12," ")</f>
        <v xml:space="preserve"> </v>
      </c>
      <c r="D56" s="152" t="str">
        <f t="shared" si="39"/>
        <v xml:space="preserve"> </v>
      </c>
      <c r="E56" s="152" t="str">
        <f t="shared" si="39"/>
        <v xml:space="preserve"> </v>
      </c>
      <c r="F56" s="152" t="str">
        <f t="shared" si="39"/>
        <v xml:space="preserve"> </v>
      </c>
      <c r="G56" s="152" t="str">
        <f t="shared" si="39"/>
        <v xml:space="preserve"> </v>
      </c>
      <c r="H56" s="152" t="str">
        <f t="shared" si="39"/>
        <v xml:space="preserve"> </v>
      </c>
      <c r="I56" s="152" t="str">
        <f t="shared" si="39"/>
        <v xml:space="preserve"> </v>
      </c>
      <c r="J56" s="152" t="str">
        <f t="shared" si="39"/>
        <v xml:space="preserve"> </v>
      </c>
      <c r="K56" s="152" t="str">
        <f t="shared" si="39"/>
        <v xml:space="preserve"> </v>
      </c>
      <c r="L56" s="152" t="str">
        <f t="shared" si="39"/>
        <v xml:space="preserve"> </v>
      </c>
      <c r="M56" s="152" t="str">
        <f t="shared" si="39"/>
        <v xml:space="preserve"> </v>
      </c>
      <c r="N56" s="152" t="str">
        <f t="shared" si="39"/>
        <v xml:space="preserve"> </v>
      </c>
      <c r="O56" s="152" t="str">
        <f t="shared" si="39"/>
        <v xml:space="preserve"> </v>
      </c>
      <c r="P56" s="152" t="str">
        <f t="shared" si="39"/>
        <v xml:space="preserve"> </v>
      </c>
      <c r="Q56" s="152" t="str">
        <f t="shared" si="39"/>
        <v xml:space="preserve"> </v>
      </c>
      <c r="R56" s="152" t="str">
        <f t="shared" si="39"/>
        <v xml:space="preserve"> </v>
      </c>
      <c r="S56" s="152" t="str">
        <f t="shared" si="39"/>
        <v xml:space="preserve"> </v>
      </c>
      <c r="T56" s="152" t="str">
        <f t="shared" si="39"/>
        <v xml:space="preserve"> </v>
      </c>
      <c r="U56" s="3"/>
      <c r="X56" s="120"/>
    </row>
    <row r="57" spans="2:25" ht="10.95" customHeight="1"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Y57" s="110"/>
    </row>
    <row r="58" spans="2:25" ht="12" customHeight="1">
      <c r="B58" s="205" t="s">
        <v>81</v>
      </c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</row>
    <row r="59" spans="2:25" ht="35.1" customHeight="1">
      <c r="B59" s="168" t="s">
        <v>82</v>
      </c>
      <c r="C59" s="133" t="s">
        <v>25</v>
      </c>
      <c r="D59" s="133" t="s">
        <v>26</v>
      </c>
      <c r="E59" s="133" t="s">
        <v>27</v>
      </c>
      <c r="F59" s="133" t="s">
        <v>28</v>
      </c>
      <c r="G59" s="133" t="s">
        <v>29</v>
      </c>
      <c r="H59" s="133" t="s">
        <v>30</v>
      </c>
      <c r="I59" s="133" t="s">
        <v>31</v>
      </c>
      <c r="J59" s="133" t="s">
        <v>32</v>
      </c>
      <c r="K59" s="133" t="s">
        <v>33</v>
      </c>
      <c r="L59" s="169" t="s">
        <v>34</v>
      </c>
      <c r="M59" s="133" t="s">
        <v>35</v>
      </c>
      <c r="N59" s="133" t="s">
        <v>36</v>
      </c>
      <c r="O59" s="133" t="s">
        <v>37</v>
      </c>
      <c r="P59" s="133" t="s">
        <v>38</v>
      </c>
      <c r="Q59" s="133" t="s">
        <v>39</v>
      </c>
      <c r="R59" s="133" t="s">
        <v>40</v>
      </c>
      <c r="S59" s="133" t="s">
        <v>41</v>
      </c>
      <c r="T59" s="133" t="s">
        <v>42</v>
      </c>
      <c r="X59" s="120"/>
    </row>
    <row r="60" spans="2:25" ht="30" customHeight="1">
      <c r="B60" s="207" t="s">
        <v>32</v>
      </c>
      <c r="C60" s="170" t="str">
        <f t="shared" ref="C60:J60" si="40">IF(C61&gt;0,"Al año cobra más:","Al año cobra menos:")</f>
        <v>Al año cobra más:</v>
      </c>
      <c r="D60" s="170" t="str">
        <f t="shared" si="40"/>
        <v>Al año cobra más:</v>
      </c>
      <c r="E60" s="170" t="str">
        <f t="shared" ca="1" si="40"/>
        <v>Al año cobra más:</v>
      </c>
      <c r="F60" s="170" t="str">
        <f t="shared" si="40"/>
        <v>Al año cobra más:</v>
      </c>
      <c r="G60" s="170" t="str">
        <f t="shared" si="40"/>
        <v>Al año cobra más:</v>
      </c>
      <c r="H60" s="170" t="str">
        <f t="shared" si="40"/>
        <v>Al año cobra más:</v>
      </c>
      <c r="I60" s="170" t="str">
        <f t="shared" si="40"/>
        <v>Al año cobra más:</v>
      </c>
      <c r="J60" s="170" t="str">
        <f t="shared" si="40"/>
        <v>Al año cobra menos:</v>
      </c>
      <c r="K60" s="170" t="str">
        <f t="shared" ref="K60:T60" si="41">IF(K61&gt;0,"Al año cobra más:","Al año cobra menos:")</f>
        <v>Al año cobra menos:</v>
      </c>
      <c r="L60" s="170" t="str">
        <f t="shared" si="41"/>
        <v>Al año cobra más:</v>
      </c>
      <c r="M60" s="170" t="str">
        <f t="shared" si="41"/>
        <v>Al año cobra más:</v>
      </c>
      <c r="N60" s="170" t="str">
        <f t="shared" si="41"/>
        <v>Al año cobra más:</v>
      </c>
      <c r="O60" s="170" t="str">
        <f t="shared" si="41"/>
        <v>Al año cobra más:</v>
      </c>
      <c r="P60" s="170" t="str">
        <f t="shared" si="41"/>
        <v>Al año cobra más:</v>
      </c>
      <c r="Q60" s="170" t="str">
        <f t="shared" si="41"/>
        <v>Al año cobra más:</v>
      </c>
      <c r="R60" s="170" t="str">
        <f t="shared" si="41"/>
        <v>Al año cobra más:</v>
      </c>
      <c r="S60" s="170" t="str">
        <f t="shared" si="41"/>
        <v>Al año cobra más:</v>
      </c>
      <c r="T60" s="170" t="str">
        <f t="shared" si="41"/>
        <v>Al año cobra más:</v>
      </c>
      <c r="X60" s="120"/>
    </row>
    <row r="61" spans="2:25" ht="22.5" customHeight="1">
      <c r="B61" s="208"/>
      <c r="C61" s="162">
        <f>IF($B$60=$C$59,C53-$C$53,IF($B$60=$D$59,C53-$D$53,IF($B$60=$E$59,C53-$E$53,IF($B$60=$F$59,C53-$F$53,IF($B$60=$G$59,C53-$G$53,IF($B$60=$H$59,C53-$H$53,IF($B$60=$I$59,C53-$I$53,IF($B$60=$J$59,C53-$J$53,IF($B$60=$K$59,C53-$K$53,IF($B$60=$L$59,C53-$L$53,IF($B$60=$M$59,C53-$M$53,IF($B$60=$N$59,C53-$N$53,IF($B$60=$O$59,C53-$O$53,IF($B$60=$P$59,C53-$P$53,IF($B$60=$Q$59,C53-$Q$53,IF($B$60=$R$59,C53-$R$53,IF($B$60=$S$59,C53-$S$53,IF($B$60=$T$59,C53-$T$53))))))))))))))))))</f>
        <v>6862.6999999999898</v>
      </c>
      <c r="D61" s="162">
        <f t="shared" ref="D61:T61" si="42">IF($B$60=$C$59,D53-$C$53,IF($B$60=$D$59,D53-$D$53,IF($B$60=$E$59,D53-$E$53,IF($B$60=$F$59,D53-$F$53,IF($B$60=$G$59,D53-$G$53,IF($B$60=$H$59,D53-$H$53,IF($B$60=$I$59,D53-$I$53,IF($B$60=$J$59,D53-$J$53,IF($B$60=$K$59,D53-$K$53,IF($B$60=$L$59,D53-$L$53,IF($B$60=$M$59,D53-$M$53,IF($B$60=$N$59,D53-$N$53,IF($B$60=$O$59,D53-$O$53,IF($B$60=$P$59,D53-$P$53,IF($B$60=$Q$59,D53-$Q$53,IF($B$60=$R$59,D53-$R$53,IF($B$60=$S$59,D53-$S$53,IF($B$60=$T$59,D53-$T$53))))))))))))))))))</f>
        <v>4706.9360000000015</v>
      </c>
      <c r="E61" s="162">
        <f t="shared" ca="1" si="42"/>
        <v>4311.9399999999878</v>
      </c>
      <c r="F61" s="162">
        <f t="shared" si="42"/>
        <v>10103.399999999994</v>
      </c>
      <c r="G61" s="162">
        <f t="shared" si="42"/>
        <v>10712.51999999999</v>
      </c>
      <c r="H61" s="162">
        <f t="shared" si="42"/>
        <v>8639.4399999999878</v>
      </c>
      <c r="I61" s="162">
        <f t="shared" si="42"/>
        <v>1761.239999999998</v>
      </c>
      <c r="J61" s="162">
        <f t="shared" si="42"/>
        <v>0</v>
      </c>
      <c r="K61" s="162">
        <f t="shared" si="42"/>
        <v>-298.72000000000116</v>
      </c>
      <c r="L61" s="162">
        <f t="shared" si="42"/>
        <v>2443.0400000000009</v>
      </c>
      <c r="M61" s="162">
        <f t="shared" si="42"/>
        <v>5624.7599999999948</v>
      </c>
      <c r="N61" s="162">
        <f t="shared" si="42"/>
        <v>2344.6199999999881</v>
      </c>
      <c r="O61" s="162">
        <f t="shared" si="42"/>
        <v>9135.0679999999847</v>
      </c>
      <c r="P61" s="162">
        <f t="shared" si="42"/>
        <v>4758.2399999999907</v>
      </c>
      <c r="Q61" s="162">
        <f t="shared" si="42"/>
        <v>6619.5199999999895</v>
      </c>
      <c r="R61" s="162">
        <f t="shared" si="42"/>
        <v>12680.259999999987</v>
      </c>
      <c r="S61" s="162">
        <f t="shared" si="42"/>
        <v>5329.1399999999849</v>
      </c>
      <c r="T61" s="162">
        <f t="shared" si="42"/>
        <v>7627.2799999999988</v>
      </c>
      <c r="U61" s="171"/>
      <c r="X61" s="120"/>
    </row>
    <row r="62" spans="2:25" ht="11.25" customHeight="1"/>
    <row r="63" spans="2:25" ht="12" customHeight="1">
      <c r="B63" s="205" t="s">
        <v>83</v>
      </c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</row>
    <row r="64" spans="2:25" ht="34.5" customHeight="1">
      <c r="B64" s="168" t="s">
        <v>84</v>
      </c>
      <c r="C64" s="133" t="s">
        <v>25</v>
      </c>
      <c r="D64" s="133" t="s">
        <v>26</v>
      </c>
      <c r="E64" s="133" t="s">
        <v>27</v>
      </c>
      <c r="F64" s="133" t="s">
        <v>28</v>
      </c>
      <c r="G64" s="133" t="s">
        <v>29</v>
      </c>
      <c r="H64" s="133" t="s">
        <v>30</v>
      </c>
      <c r="I64" s="133" t="s">
        <v>31</v>
      </c>
      <c r="J64" s="133" t="s">
        <v>32</v>
      </c>
      <c r="K64" s="133" t="s">
        <v>33</v>
      </c>
      <c r="L64" s="169" t="s">
        <v>34</v>
      </c>
      <c r="M64" s="133" t="s">
        <v>35</v>
      </c>
      <c r="N64" s="133" t="s">
        <v>36</v>
      </c>
      <c r="O64" s="133" t="s">
        <v>37</v>
      </c>
      <c r="P64" s="133" t="s">
        <v>38</v>
      </c>
      <c r="Q64" s="133" t="s">
        <v>39</v>
      </c>
      <c r="R64" s="133" t="s">
        <v>40</v>
      </c>
      <c r="S64" s="133" t="s">
        <v>41</v>
      </c>
      <c r="T64" s="133" t="s">
        <v>42</v>
      </c>
      <c r="U64" s="211" t="s">
        <v>85</v>
      </c>
      <c r="V64" s="195" t="s">
        <v>86</v>
      </c>
      <c r="W64" s="120"/>
      <c r="X64" s="120"/>
    </row>
    <row r="65" spans="2:46" ht="17.25" customHeight="1">
      <c r="B65" s="135" t="s">
        <v>87</v>
      </c>
      <c r="C65" s="154">
        <f ca="1">SUM(C53,-$U53)</f>
        <v>1120.4008888888784</v>
      </c>
      <c r="D65" s="154">
        <f ca="1">SUM(D53,-$U53)</f>
        <v>-1035.3631111111099</v>
      </c>
      <c r="E65" s="154">
        <f t="shared" ref="E65:T65" ca="1" si="43">SUM(E53,-$U53)</f>
        <v>-1430.3591111111236</v>
      </c>
      <c r="F65" s="154">
        <f t="shared" ca="1" si="43"/>
        <v>4361.1008888888828</v>
      </c>
      <c r="G65" s="154">
        <f t="shared" ca="1" si="43"/>
        <v>4970.2208888888781</v>
      </c>
      <c r="H65" s="154">
        <f t="shared" ca="1" si="43"/>
        <v>2897.1408888888764</v>
      </c>
      <c r="I65" s="154">
        <f t="shared" ca="1" si="43"/>
        <v>-3981.0591111111135</v>
      </c>
      <c r="J65" s="154">
        <f t="shared" ca="1" si="43"/>
        <v>-5742.2991111111114</v>
      </c>
      <c r="K65" s="154">
        <f t="shared" ca="1" si="43"/>
        <v>-6041.0191111111126</v>
      </c>
      <c r="L65" s="154">
        <f t="shared" ca="1" si="43"/>
        <v>-3299.2591111111105</v>
      </c>
      <c r="M65" s="154">
        <f t="shared" ca="1" si="43"/>
        <v>-117.53911111111665</v>
      </c>
      <c r="N65" s="154">
        <f t="shared" ca="1" si="43"/>
        <v>-3397.6791111111233</v>
      </c>
      <c r="O65" s="154">
        <f t="shared" ca="1" si="43"/>
        <v>3392.7688888888733</v>
      </c>
      <c r="P65" s="154">
        <f t="shared" ca="1" si="43"/>
        <v>-984.05911111112073</v>
      </c>
      <c r="Q65" s="154">
        <f t="shared" ca="1" si="43"/>
        <v>877.22088888887811</v>
      </c>
      <c r="R65" s="154">
        <f t="shared" ca="1" si="43"/>
        <v>6937.9608888888761</v>
      </c>
      <c r="S65" s="154">
        <f t="shared" ca="1" si="43"/>
        <v>-413.15911111112655</v>
      </c>
      <c r="T65" s="154">
        <f t="shared" ca="1" si="43"/>
        <v>1884.9808888888874</v>
      </c>
      <c r="U65" s="212"/>
      <c r="V65" s="196"/>
      <c r="W65" s="172" t="s">
        <v>88</v>
      </c>
      <c r="X65" s="120"/>
    </row>
    <row r="66" spans="2:46" ht="15.75" customHeight="1">
      <c r="B66" s="135" t="s">
        <v>89</v>
      </c>
      <c r="C66" s="173">
        <f ca="1">C65/$U53</f>
        <v>2.4675075305217894E-2</v>
      </c>
      <c r="D66" s="173">
        <f t="shared" ref="D66:T66" ca="1" si="44">D65/$U53</f>
        <v>-2.2802251397932564E-2</v>
      </c>
      <c r="E66" s="173">
        <f t="shared" ca="1" si="44"/>
        <v>-3.1501419831229706E-2</v>
      </c>
      <c r="F66" s="173">
        <f t="shared" ca="1" si="44"/>
        <v>9.6046418665112918E-2</v>
      </c>
      <c r="G66" s="173">
        <f t="shared" ca="1" si="44"/>
        <v>0.10946133293282632</v>
      </c>
      <c r="H66" s="173">
        <f t="shared" ca="1" si="44"/>
        <v>6.3804991866843339E-2</v>
      </c>
      <c r="I66" s="173">
        <f t="shared" ca="1" si="44"/>
        <v>-8.7676593561622287E-2</v>
      </c>
      <c r="J66" s="173">
        <f t="shared" ca="1" si="44"/>
        <v>-0.12646514689244007</v>
      </c>
      <c r="K66" s="173">
        <f t="shared" ca="1" si="44"/>
        <v>-0.13304398717030222</v>
      </c>
      <c r="L66" s="173">
        <f t="shared" ca="1" si="44"/>
        <v>-7.2661016092934488E-2</v>
      </c>
      <c r="M66" s="173">
        <f t="shared" ca="1" si="44"/>
        <v>-2.5886148848484423E-3</v>
      </c>
      <c r="N66" s="173">
        <f t="shared" ca="1" si="44"/>
        <v>-7.482856249139215E-2</v>
      </c>
      <c r="O66" s="173">
        <f t="shared" ca="1" si="44"/>
        <v>7.4720422535148878E-2</v>
      </c>
      <c r="P66" s="173">
        <f t="shared" ca="1" si="44"/>
        <v>-2.1672361127393708E-2</v>
      </c>
      <c r="Q66" s="173">
        <f t="shared" ca="1" si="44"/>
        <v>1.9319416565359446E-2</v>
      </c>
      <c r="R66" s="173">
        <f t="shared" ca="1" si="44"/>
        <v>0.15279772543537193</v>
      </c>
      <c r="S66" s="173">
        <f t="shared" ca="1" si="44"/>
        <v>-9.0991825165492608E-3</v>
      </c>
      <c r="T66" s="173">
        <f t="shared" ca="1" si="44"/>
        <v>4.1513752660761169E-2</v>
      </c>
      <c r="U66" s="213"/>
      <c r="V66" s="197"/>
      <c r="W66" s="174"/>
      <c r="X66" s="120"/>
    </row>
    <row r="67" spans="2:46" ht="15" customHeight="1">
      <c r="B67" s="206" t="s">
        <v>2</v>
      </c>
      <c r="C67" s="206"/>
      <c r="D67" s="206"/>
      <c r="E67" s="206"/>
      <c r="F67" s="206"/>
      <c r="U67" s="175">
        <f ca="1">MAX(C53:T53)</f>
        <v>52344.139999999992</v>
      </c>
      <c r="V67" s="176">
        <f ca="1">MIN(C53:T53)</f>
        <v>39365.160000000003</v>
      </c>
      <c r="W67" s="177">
        <f ca="1">U67-V67</f>
        <v>12978.979999999989</v>
      </c>
    </row>
    <row r="68" spans="2:46" ht="22.2" customHeight="1">
      <c r="U68" s="178" t="str">
        <f ca="1">INDEX($C$59:$T$59,MATCH(MAX($C$53:$T$53),$C$53:$T$53,0))</f>
        <v>Ceuta y Melilla</v>
      </c>
      <c r="V68" s="179" t="str">
        <f ca="1">INDEX($C$59:$T$59,MATCH(MIN($C$53:$T$53),$C$53:$T$53,0))</f>
        <v>Cataluña</v>
      </c>
      <c r="W68" s="120"/>
    </row>
    <row r="71" spans="2:46" ht="22.2" customHeight="1">
      <c r="Y71" s="120" t="s">
        <v>15</v>
      </c>
      <c r="Z71" s="120">
        <v>0</v>
      </c>
    </row>
    <row r="72" spans="2:46" ht="25.5" customHeight="1">
      <c r="Y72" s="120" t="s">
        <v>11</v>
      </c>
      <c r="Z72" s="120">
        <v>1</v>
      </c>
      <c r="AA72" s="120" t="s">
        <v>7</v>
      </c>
    </row>
    <row r="73" spans="2:46" ht="24" customHeight="1">
      <c r="Z73" s="120">
        <v>2</v>
      </c>
      <c r="AA73" s="120" t="s">
        <v>90</v>
      </c>
    </row>
    <row r="74" spans="2:46" ht="12.9" customHeight="1">
      <c r="Z74" s="120">
        <v>3</v>
      </c>
    </row>
    <row r="75" spans="2:46" ht="12.9" customHeight="1">
      <c r="Y75" s="180">
        <v>0.02</v>
      </c>
      <c r="Z75" s="120">
        <v>4</v>
      </c>
      <c r="AH75" s="120">
        <v>185</v>
      </c>
      <c r="AI75" s="120">
        <f>+AH75+35</f>
        <v>220</v>
      </c>
      <c r="AJ75" s="120">
        <f t="shared" ref="AJ75:AT75" si="45">+AI75+35</f>
        <v>255</v>
      </c>
      <c r="AK75" s="120">
        <f t="shared" si="45"/>
        <v>290</v>
      </c>
      <c r="AL75" s="120">
        <f t="shared" si="45"/>
        <v>325</v>
      </c>
      <c r="AM75" s="120">
        <f t="shared" si="45"/>
        <v>360</v>
      </c>
      <c r="AN75" s="120">
        <f t="shared" si="45"/>
        <v>395</v>
      </c>
      <c r="AO75" s="120">
        <f t="shared" si="45"/>
        <v>430</v>
      </c>
      <c r="AP75" s="120">
        <f t="shared" si="45"/>
        <v>465</v>
      </c>
      <c r="AQ75" s="120">
        <f t="shared" si="45"/>
        <v>500</v>
      </c>
      <c r="AR75" s="120">
        <f t="shared" si="45"/>
        <v>535</v>
      </c>
      <c r="AS75" s="120">
        <f t="shared" si="45"/>
        <v>570</v>
      </c>
      <c r="AT75" s="120">
        <f t="shared" si="45"/>
        <v>605</v>
      </c>
    </row>
    <row r="76" spans="2:46" ht="12.9" customHeight="1">
      <c r="Y76" s="180">
        <v>0.03</v>
      </c>
      <c r="Z76" s="120">
        <v>5</v>
      </c>
      <c r="AA76" s="110" t="s">
        <v>29</v>
      </c>
      <c r="AB76" s="110"/>
      <c r="AC76" s="181" t="str">
        <f>+Retribuciones!C10</f>
        <v>Canarias</v>
      </c>
      <c r="AD76" s="181" t="str">
        <f>+Retribuciones!C50</f>
        <v>Andalucía</v>
      </c>
      <c r="AE76" s="181" t="str">
        <f>+Retribuciones!C86</f>
        <v>Aragón</v>
      </c>
      <c r="AF76" s="181" t="str">
        <f>+Retribuciones!C122</f>
        <v>Asturias</v>
      </c>
      <c r="AG76" s="181" t="str">
        <f>+Retribuciones!C158</f>
        <v>Baleares</v>
      </c>
      <c r="AH76" s="181" t="str">
        <f>+Retribuciones!C194</f>
        <v>Cantabria</v>
      </c>
      <c r="AI76" s="181" t="str">
        <f>+Retribuciones!C230</f>
        <v>Castilla La Mancha</v>
      </c>
      <c r="AJ76" s="181" t="str">
        <f>+Retribuciones!C266</f>
        <v>Castilla y León</v>
      </c>
      <c r="AK76" s="181" t="str">
        <f>+Retribuciones!C302</f>
        <v>Cataluña</v>
      </c>
      <c r="AL76" s="181" t="str">
        <f>+Retribuciones!C338</f>
        <v>Extremadura</v>
      </c>
      <c r="AM76" s="181" t="str">
        <f>+Retribuciones!C374</f>
        <v>Galicia</v>
      </c>
      <c r="AN76" s="181" t="str">
        <f>+Retribuciones!C410</f>
        <v>La Rioja</v>
      </c>
      <c r="AO76" s="181" t="str">
        <f>+Retribuciones!C446</f>
        <v>Madrid</v>
      </c>
      <c r="AP76" s="181" t="str">
        <f>+Retribuciones!C482</f>
        <v>Murcia</v>
      </c>
      <c r="AQ76" s="181" t="str">
        <f>+Retribuciones!C518</f>
        <v>Valencia</v>
      </c>
      <c r="AR76" s="181" t="str">
        <f>+Retribuciones!C554</f>
        <v>Ceuta y Melilla</v>
      </c>
      <c r="AS76" s="181" t="str">
        <f>+Retribuciones!C590</f>
        <v>País Vasco</v>
      </c>
      <c r="AT76" s="181" t="str">
        <f>+Retribuciones!C626</f>
        <v>Navarra</v>
      </c>
    </row>
    <row r="77" spans="2:46" ht="28.5" customHeight="1">
      <c r="Y77" s="180">
        <v>0.04</v>
      </c>
      <c r="Z77" s="120">
        <v>6</v>
      </c>
      <c r="AA77" s="110" t="s">
        <v>25</v>
      </c>
      <c r="AB77" s="182"/>
      <c r="AC77" s="183" t="str">
        <f>+Retribuciones!C11</f>
        <v>590-Profesores Enseñanza Secundaria</v>
      </c>
      <c r="AD77" s="183" t="str">
        <f>+Retribuciones!C51</f>
        <v>590-Profesores Enseñanza Secundaria</v>
      </c>
      <c r="AE77" s="183" t="str">
        <f>+Retribuciones!C87</f>
        <v>590-Profesores Enseñanza Secundaria</v>
      </c>
      <c r="AF77" s="183" t="str">
        <f>+Retribuciones!C123</f>
        <v>590-Profesores Enseñanza Secundaria</v>
      </c>
      <c r="AG77" s="183" t="str">
        <f>+Retribuciones!C159</f>
        <v>590-Profesores Enseñanza Secundaria</v>
      </c>
      <c r="AH77" s="183" t="str">
        <f>+Retribuciones!C195</f>
        <v>590-Profesores Enseñanza Secundaria</v>
      </c>
      <c r="AI77" s="183" t="str">
        <f>+Retribuciones!C231</f>
        <v>590-Profesores Enseñanza Secundaria</v>
      </c>
      <c r="AJ77" s="183" t="str">
        <f>+Retribuciones!C267</f>
        <v>590-Profesores Enseñanza Secundaria</v>
      </c>
      <c r="AK77" s="183" t="str">
        <f>+Retribuciones!C303</f>
        <v>590-Profesores Enseñanza Secundaria</v>
      </c>
      <c r="AL77" s="183" t="str">
        <f>+Retribuciones!C339</f>
        <v>590-Profesores Enseñanza Secundaria</v>
      </c>
      <c r="AM77" s="183" t="str">
        <f>+Retribuciones!C375</f>
        <v>590-Profesores Enseñanza Secundaria</v>
      </c>
      <c r="AN77" s="183" t="str">
        <f>+Retribuciones!C411</f>
        <v>590-Profesores Enseñanza Secundaria</v>
      </c>
      <c r="AO77" s="183" t="str">
        <f>+Retribuciones!C447</f>
        <v>590-Profesores Enseñanza Secundaria</v>
      </c>
      <c r="AP77" s="183" t="str">
        <f>+Retribuciones!C483</f>
        <v>590-Profesores Enseñanza Secundaria</v>
      </c>
      <c r="AQ77" s="183" t="str">
        <f>+Retribuciones!C519</f>
        <v>590-Profesores Enseñanza Secundaria</v>
      </c>
      <c r="AR77" s="183" t="str">
        <f>+Retribuciones!C555</f>
        <v>590-Profesores Enseñanza Secundaria</v>
      </c>
      <c r="AS77" s="183" t="str">
        <f>+Retribuciones!C591</f>
        <v>590-Profesores Enseñanza Secundaria</v>
      </c>
      <c r="AT77" s="183" t="str">
        <f>+Retribuciones!C627</f>
        <v>590-Profesores Enseñanza Secundaria</v>
      </c>
    </row>
    <row r="78" spans="2:46" ht="12.9" customHeight="1">
      <c r="Y78" s="180">
        <v>0.05</v>
      </c>
      <c r="Z78" s="120">
        <v>7</v>
      </c>
      <c r="AA78" s="110" t="s">
        <v>26</v>
      </c>
      <c r="AB78" s="184" t="s">
        <v>91</v>
      </c>
      <c r="AC78" s="181" t="str">
        <f>+Retribuciones!C12</f>
        <v>A1</v>
      </c>
      <c r="AD78" s="181" t="str">
        <f>+Retribuciones!C52</f>
        <v>A1</v>
      </c>
      <c r="AE78" s="181" t="str">
        <f>+Retribuciones!C88</f>
        <v>A1</v>
      </c>
      <c r="AF78" s="181" t="str">
        <f>+Retribuciones!C124</f>
        <v>A1</v>
      </c>
      <c r="AG78" s="181" t="str">
        <f>+Retribuciones!C160</f>
        <v>A1</v>
      </c>
      <c r="AH78" s="181" t="str">
        <f>+Retribuciones!C196</f>
        <v>A1</v>
      </c>
      <c r="AI78" s="181" t="str">
        <f>+Retribuciones!C232</f>
        <v>A1</v>
      </c>
      <c r="AJ78" s="181" t="str">
        <f>+Retribuciones!C268</f>
        <v>A1</v>
      </c>
      <c r="AK78" s="181" t="str">
        <f>+Retribuciones!C304</f>
        <v>A1</v>
      </c>
      <c r="AL78" s="181" t="str">
        <f>+Retribuciones!C340</f>
        <v>A1</v>
      </c>
      <c r="AM78" s="181" t="str">
        <f>+Retribuciones!C376</f>
        <v>A1</v>
      </c>
      <c r="AN78" s="181" t="str">
        <f>+Retribuciones!C412</f>
        <v>A1</v>
      </c>
      <c r="AO78" s="181" t="str">
        <f>+Retribuciones!C448</f>
        <v>A1</v>
      </c>
      <c r="AP78" s="181" t="str">
        <f>+Retribuciones!C484</f>
        <v>A1</v>
      </c>
      <c r="AQ78" s="181" t="str">
        <f>+Retribuciones!C520</f>
        <v>A1</v>
      </c>
      <c r="AR78" s="181" t="str">
        <f>+Retribuciones!C556</f>
        <v>A1</v>
      </c>
      <c r="AS78" s="181" t="str">
        <f>+Retribuciones!C592</f>
        <v>A1</v>
      </c>
      <c r="AT78" s="181" t="str">
        <f>+Retribuciones!C628</f>
        <v>A1</v>
      </c>
    </row>
    <row r="79" spans="2:46" ht="12.9" customHeight="1">
      <c r="Y79" s="180">
        <v>0.06</v>
      </c>
      <c r="Z79" s="120">
        <v>8</v>
      </c>
      <c r="AA79" s="110" t="s">
        <v>27</v>
      </c>
      <c r="AB79" s="184"/>
      <c r="AC79" s="181">
        <f>+Retribuciones!C13</f>
        <v>24</v>
      </c>
      <c r="AD79" s="181">
        <f>+Retribuciones!C53</f>
        <v>24</v>
      </c>
      <c r="AE79" s="181">
        <f>+Retribuciones!C89</f>
        <v>24</v>
      </c>
      <c r="AF79" s="181">
        <f>+Retribuciones!C125</f>
        <v>24</v>
      </c>
      <c r="AG79" s="181">
        <f>+Retribuciones!C161</f>
        <v>24</v>
      </c>
      <c r="AH79" s="181">
        <f>+Retribuciones!C197</f>
        <v>24</v>
      </c>
      <c r="AI79" s="181">
        <f>+Retribuciones!C233</f>
        <v>24</v>
      </c>
      <c r="AJ79" s="181">
        <f>+Retribuciones!C269</f>
        <v>24</v>
      </c>
      <c r="AK79" s="181">
        <f>+Retribuciones!C305</f>
        <v>24</v>
      </c>
      <c r="AL79" s="181">
        <f>+Retribuciones!C341</f>
        <v>24</v>
      </c>
      <c r="AM79" s="181">
        <f>+Retribuciones!C377</f>
        <v>24</v>
      </c>
      <c r="AN79" s="181">
        <f>+Retribuciones!C413</f>
        <v>24</v>
      </c>
      <c r="AO79" s="181">
        <f>+Retribuciones!C449</f>
        <v>24</v>
      </c>
      <c r="AP79" s="181">
        <f>+Retribuciones!C485</f>
        <v>24</v>
      </c>
      <c r="AQ79" s="181">
        <f>+Retribuciones!C521</f>
        <v>24</v>
      </c>
      <c r="AR79" s="181">
        <f>+Retribuciones!C557</f>
        <v>24</v>
      </c>
      <c r="AS79" s="181">
        <f>+Retribuciones!C593</f>
        <v>24</v>
      </c>
      <c r="AT79" s="181">
        <f>+Retribuciones!C629</f>
        <v>24</v>
      </c>
    </row>
    <row r="80" spans="2:46" ht="12.9" customHeight="1">
      <c r="Y80" s="180">
        <v>7.0000000000000007E-2</v>
      </c>
      <c r="Z80" s="120">
        <v>9</v>
      </c>
      <c r="AA80" s="110" t="s">
        <v>28</v>
      </c>
      <c r="AB80" s="185" t="s">
        <v>43</v>
      </c>
      <c r="AC80" s="186">
        <f>+Retribuciones!C14</f>
        <v>1387.24</v>
      </c>
      <c r="AD80" s="186">
        <f>+Retribuciones!C54</f>
        <v>1387.24</v>
      </c>
      <c r="AE80" s="186">
        <f>+Retribuciones!C90</f>
        <v>1387.24</v>
      </c>
      <c r="AF80" s="186">
        <f>+Retribuciones!C126</f>
        <v>1387.24</v>
      </c>
      <c r="AG80" s="186">
        <f>+Retribuciones!C162</f>
        <v>1387.24</v>
      </c>
      <c r="AH80" s="186">
        <f>+Retribuciones!C198</f>
        <v>1387.24</v>
      </c>
      <c r="AI80" s="186">
        <f>+Retribuciones!C234</f>
        <v>1387.24</v>
      </c>
      <c r="AJ80" s="186">
        <f>+Retribuciones!C270</f>
        <v>1387.24</v>
      </c>
      <c r="AK80" s="186">
        <f>+Retribuciones!C306</f>
        <v>1387.24</v>
      </c>
      <c r="AL80" s="186">
        <f>+Retribuciones!C342</f>
        <v>1387.24</v>
      </c>
      <c r="AM80" s="186">
        <f>+Retribuciones!C378</f>
        <v>1387.24</v>
      </c>
      <c r="AN80" s="186">
        <f>+Retribuciones!C414</f>
        <v>1387.24</v>
      </c>
      <c r="AO80" s="186">
        <f>+Retribuciones!C450</f>
        <v>1387.24</v>
      </c>
      <c r="AP80" s="186">
        <f>+Retribuciones!C486</f>
        <v>1387.24</v>
      </c>
      <c r="AQ80" s="186">
        <f>+Retribuciones!C522</f>
        <v>1387.24</v>
      </c>
      <c r="AR80" s="186">
        <f>+Retribuciones!C558</f>
        <v>1387.24</v>
      </c>
      <c r="AS80" s="186">
        <f>+Retribuciones!C594</f>
        <v>1387.24</v>
      </c>
      <c r="AT80" s="186">
        <f>+Retribuciones!C630</f>
        <v>2258.75</v>
      </c>
    </row>
    <row r="81" spans="25:47" ht="12.9" customHeight="1">
      <c r="Y81" s="180">
        <v>0.08</v>
      </c>
      <c r="Z81" s="120">
        <v>10</v>
      </c>
      <c r="AA81" s="110" t="s">
        <v>30</v>
      </c>
      <c r="AB81" s="185" t="s">
        <v>92</v>
      </c>
      <c r="AC81" s="186">
        <f>+Retribuciones!C15</f>
        <v>856.05</v>
      </c>
      <c r="AD81" s="186">
        <f>+Retribuciones!C55</f>
        <v>856.05</v>
      </c>
      <c r="AE81" s="186">
        <f>+Retribuciones!C91</f>
        <v>856.05</v>
      </c>
      <c r="AF81" s="186">
        <f>+Retribuciones!C127</f>
        <v>856.05</v>
      </c>
      <c r="AG81" s="186">
        <f>+Retribuciones!C163</f>
        <v>856.05</v>
      </c>
      <c r="AH81" s="186">
        <f>+Retribuciones!C199</f>
        <v>856.05</v>
      </c>
      <c r="AI81" s="186">
        <f>+Retribuciones!C235</f>
        <v>856.05</v>
      </c>
      <c r="AJ81" s="186">
        <f>+Retribuciones!C271</f>
        <v>856.05</v>
      </c>
      <c r="AK81" s="186">
        <f>+Retribuciones!C307</f>
        <v>856.05</v>
      </c>
      <c r="AL81" s="186">
        <f>+Retribuciones!C343</f>
        <v>856.05</v>
      </c>
      <c r="AM81" s="186">
        <f>+Retribuciones!C379</f>
        <v>856.05</v>
      </c>
      <c r="AN81" s="186">
        <f>+Retribuciones!C415</f>
        <v>856.05</v>
      </c>
      <c r="AO81" s="186">
        <f>+Retribuciones!C451</f>
        <v>856.05</v>
      </c>
      <c r="AP81" s="186">
        <f>+Retribuciones!C487</f>
        <v>856.05</v>
      </c>
      <c r="AQ81" s="186">
        <f>+Retribuciones!C523</f>
        <v>856.05</v>
      </c>
      <c r="AR81" s="186">
        <f>+Retribuciones!C559</f>
        <v>856.05</v>
      </c>
      <c r="AS81" s="186">
        <f>+Retribuciones!C595</f>
        <v>856.05</v>
      </c>
      <c r="AT81" s="186">
        <f>+Retribuciones!C631</f>
        <v>2258.75</v>
      </c>
    </row>
    <row r="82" spans="25:47" ht="12.9" customHeight="1">
      <c r="Y82" s="180">
        <v>0.09</v>
      </c>
      <c r="Z82" s="120">
        <v>11</v>
      </c>
      <c r="AA82" s="110" t="s">
        <v>32</v>
      </c>
      <c r="AB82" s="185" t="s">
        <v>93</v>
      </c>
      <c r="AC82" s="186">
        <f>+Retribuciones!C16</f>
        <v>53.39</v>
      </c>
      <c r="AD82" s="186">
        <f>+Retribuciones!C56</f>
        <v>53.39</v>
      </c>
      <c r="AE82" s="186">
        <f>+Retribuciones!C92</f>
        <v>53.39</v>
      </c>
      <c r="AF82" s="186">
        <f>+Retribuciones!C128</f>
        <v>53.39</v>
      </c>
      <c r="AG82" s="186">
        <f>+Retribuciones!C164</f>
        <v>53.39</v>
      </c>
      <c r="AH82" s="186">
        <f>+Retribuciones!C200</f>
        <v>53.39</v>
      </c>
      <c r="AI82" s="186">
        <f>+Retribuciones!C236</f>
        <v>53.39</v>
      </c>
      <c r="AJ82" s="186">
        <f>+Retribuciones!C272</f>
        <v>53.39</v>
      </c>
      <c r="AK82" s="186">
        <f>+Retribuciones!C308</f>
        <v>53.39</v>
      </c>
      <c r="AL82" s="186">
        <f>+Retribuciones!C344</f>
        <v>53.39</v>
      </c>
      <c r="AM82" s="186">
        <f>+Retribuciones!C380</f>
        <v>53.39</v>
      </c>
      <c r="AN82" s="186">
        <f>+Retribuciones!C416</f>
        <v>53.39</v>
      </c>
      <c r="AO82" s="186">
        <f>+Retribuciones!C452</f>
        <v>53.39</v>
      </c>
      <c r="AP82" s="186">
        <f>+Retribuciones!C488</f>
        <v>53.39</v>
      </c>
      <c r="AQ82" s="186">
        <f>+Retribuciones!C524</f>
        <v>53.39</v>
      </c>
      <c r="AR82" s="186">
        <f>+Retribuciones!C560</f>
        <v>53.39</v>
      </c>
      <c r="AS82" s="186">
        <f>+Retribuciones!C596</f>
        <v>53.39</v>
      </c>
      <c r="AT82" s="186">
        <f>+Retribuciones!C632</f>
        <v>0</v>
      </c>
    </row>
    <row r="83" spans="25:47" ht="12.9" customHeight="1">
      <c r="Y83" s="180">
        <v>0.1</v>
      </c>
      <c r="Z83" s="120">
        <v>12</v>
      </c>
      <c r="AA83" s="110" t="s">
        <v>94</v>
      </c>
      <c r="AB83" s="185" t="s">
        <v>95</v>
      </c>
      <c r="AC83" s="186">
        <f>+Retribuciones!C17</f>
        <v>32.96</v>
      </c>
      <c r="AD83" s="186">
        <f>+Retribuciones!C57</f>
        <v>32.96</v>
      </c>
      <c r="AE83" s="186">
        <f>+Retribuciones!C93</f>
        <v>32.96</v>
      </c>
      <c r="AF83" s="186">
        <f>+Retribuciones!C129</f>
        <v>32.96</v>
      </c>
      <c r="AG83" s="186">
        <f>+Retribuciones!C165</f>
        <v>32.96</v>
      </c>
      <c r="AH83" s="186">
        <f>+Retribuciones!C201</f>
        <v>32.96</v>
      </c>
      <c r="AI83" s="186">
        <f>+Retribuciones!C237</f>
        <v>32.96</v>
      </c>
      <c r="AJ83" s="186">
        <f>+Retribuciones!C273</f>
        <v>32.96</v>
      </c>
      <c r="AK83" s="186">
        <f>+Retribuciones!C309</f>
        <v>32.96</v>
      </c>
      <c r="AL83" s="186">
        <f>+Retribuciones!C345</f>
        <v>32.96</v>
      </c>
      <c r="AM83" s="186">
        <f>+Retribuciones!C381</f>
        <v>32.96</v>
      </c>
      <c r="AN83" s="186">
        <f>+Retribuciones!C417</f>
        <v>32.96</v>
      </c>
      <c r="AO83" s="186">
        <f>+Retribuciones!C453</f>
        <v>32.96</v>
      </c>
      <c r="AP83" s="186">
        <f>+Retribuciones!C489</f>
        <v>32.96</v>
      </c>
      <c r="AQ83" s="186">
        <f>+Retribuciones!C525</f>
        <v>32.96</v>
      </c>
      <c r="AR83" s="186">
        <f>+Retribuciones!C561</f>
        <v>32.96</v>
      </c>
      <c r="AS83" s="186">
        <f>+Retribuciones!C597</f>
        <v>32.96</v>
      </c>
      <c r="AT83" s="186">
        <f>+Retribuciones!C633</f>
        <v>0</v>
      </c>
    </row>
    <row r="84" spans="25:47" ht="12.9" customHeight="1">
      <c r="Y84" s="180">
        <v>0.11</v>
      </c>
      <c r="Z84" s="120">
        <v>13</v>
      </c>
      <c r="AA84" s="110" t="s">
        <v>33</v>
      </c>
      <c r="AB84" s="185" t="s">
        <v>46</v>
      </c>
      <c r="AC84" s="186">
        <f>+Retribuciones!C18</f>
        <v>728.32</v>
      </c>
      <c r="AD84" s="186">
        <f>+Retribuciones!C58</f>
        <v>729.14</v>
      </c>
      <c r="AE84" s="186">
        <f>+Retribuciones!C94</f>
        <v>729.14</v>
      </c>
      <c r="AF84" s="186">
        <f>+Retribuciones!C130</f>
        <v>736.54</v>
      </c>
      <c r="AG84" s="186">
        <f>+Retribuciones!C166</f>
        <v>718.36</v>
      </c>
      <c r="AH84" s="186">
        <f>+Retribuciones!C202</f>
        <v>767.49</v>
      </c>
      <c r="AI84" s="186">
        <f>+Retribuciones!C238</f>
        <v>729.14</v>
      </c>
      <c r="AJ84" s="186">
        <f>+Retribuciones!C274</f>
        <v>729.14</v>
      </c>
      <c r="AK84" s="186">
        <f>+Retribuciones!C310</f>
        <v>729.14</v>
      </c>
      <c r="AL84" s="186">
        <f>+Retribuciones!C346</f>
        <v>729.14</v>
      </c>
      <c r="AM84" s="186">
        <f>+Retribuciones!C382</f>
        <v>729.14</v>
      </c>
      <c r="AN84" s="186">
        <f>+Retribuciones!C418</f>
        <v>729.14</v>
      </c>
      <c r="AO84" s="186">
        <f>+Retribuciones!C454</f>
        <v>729.14</v>
      </c>
      <c r="AP84" s="186">
        <f>+Retribuciones!C490</f>
        <v>729.14</v>
      </c>
      <c r="AQ84" s="186">
        <f>+Retribuciones!C526</f>
        <v>729.14</v>
      </c>
      <c r="AR84" s="186">
        <f>+Retribuciones!C562</f>
        <v>729.14</v>
      </c>
      <c r="AS84" s="186">
        <f>+Retribuciones!C598</f>
        <v>817.32</v>
      </c>
      <c r="AT84" s="186">
        <f>+Retribuciones!C634</f>
        <v>0</v>
      </c>
    </row>
    <row r="85" spans="25:47" ht="12.9" customHeight="1">
      <c r="Y85" s="180">
        <v>0.12</v>
      </c>
      <c r="Z85" s="120">
        <v>14</v>
      </c>
      <c r="AA85" s="110" t="s">
        <v>96</v>
      </c>
      <c r="AB85" s="185" t="s">
        <v>48</v>
      </c>
      <c r="AC85" s="186">
        <f>+Retribuciones!C19</f>
        <v>757.35</v>
      </c>
      <c r="AD85" s="186">
        <f>+Retribuciones!C59</f>
        <v>881.46</v>
      </c>
      <c r="AE85" s="186">
        <f>+Retribuciones!C95</f>
        <v>756.22</v>
      </c>
      <c r="AF85" s="186">
        <f>+Retribuciones!C131</f>
        <v>708.37</v>
      </c>
      <c r="AG85" s="186">
        <f>+Retribuciones!C167</f>
        <v>450.98</v>
      </c>
      <c r="AH85" s="186">
        <f>+Retribuciones!C203</f>
        <v>875.1</v>
      </c>
      <c r="AI85" s="186">
        <f>+Retribuciones!C239</f>
        <v>282</v>
      </c>
      <c r="AJ85" s="186">
        <f>+Retribuciones!C275</f>
        <v>294.2</v>
      </c>
      <c r="AK85" s="186">
        <f>+Retribuciones!C311</f>
        <v>720.83</v>
      </c>
      <c r="AL85" s="186">
        <f>+Retribuciones!C347</f>
        <v>520.73</v>
      </c>
      <c r="AM85" s="186">
        <f>+Retribuciones!C383</f>
        <v>779.29</v>
      </c>
      <c r="AN85" s="186">
        <f>+Retribuciones!C419</f>
        <v>909.64</v>
      </c>
      <c r="AO85" s="186">
        <f>+Retribuciones!C455</f>
        <v>798.41</v>
      </c>
      <c r="AP85" s="186">
        <f>+Retribuciones!C491</f>
        <v>433.42</v>
      </c>
      <c r="AQ85" s="186">
        <f>+Retribuciones!C527</f>
        <v>731</v>
      </c>
      <c r="AR85" s="186">
        <f>+Retribuciones!C563</f>
        <v>433.91</v>
      </c>
      <c r="AS85" s="186">
        <f>+Retribuciones!C599</f>
        <v>1034.6400000000001</v>
      </c>
      <c r="AT85" s="186">
        <f>+Retribuciones!C635</f>
        <v>756.23</v>
      </c>
    </row>
    <row r="86" spans="25:47" ht="12.9" customHeight="1">
      <c r="Y86" s="180">
        <v>0.13</v>
      </c>
      <c r="Z86" s="120">
        <v>15</v>
      </c>
      <c r="AA86" s="110" t="s">
        <v>34</v>
      </c>
      <c r="AB86" s="187" t="s">
        <v>97</v>
      </c>
      <c r="AC86" s="186">
        <f>+Retribuciones!C20</f>
        <v>590.73</v>
      </c>
      <c r="AD86" s="186">
        <f>+Retribuciones!C60</f>
        <v>0</v>
      </c>
      <c r="AE86" s="186">
        <f>+Retribuciones!C96</f>
        <v>680.59799999999996</v>
      </c>
      <c r="AF86" s="186">
        <f>+Retribuciones!C132</f>
        <v>0</v>
      </c>
      <c r="AG86" s="186">
        <f>IF($C$6="Carrera",+Retribuciones!C168,+Retribuciones!C169)</f>
        <v>429.57</v>
      </c>
      <c r="AH86" s="186">
        <f>+Retribuciones!C204</f>
        <v>0</v>
      </c>
      <c r="AI86" s="186">
        <f>+Retribuciones!C240</f>
        <v>585.97</v>
      </c>
      <c r="AJ86" s="186">
        <f>+Retribuciones!C276</f>
        <v>424.79</v>
      </c>
      <c r="AK86" s="186">
        <f>+Retribuciones!C312</f>
        <v>0</v>
      </c>
      <c r="AL86" s="186">
        <f>+Retribuciones!C348</f>
        <v>181.99</v>
      </c>
      <c r="AM86" s="186">
        <f>+Retribuciones!C384</f>
        <v>0</v>
      </c>
      <c r="AN86" s="186">
        <f>+Retribuciones!C420</f>
        <v>0</v>
      </c>
      <c r="AO86" s="186">
        <f>+Retribuciones!C456</f>
        <v>0</v>
      </c>
      <c r="AP86" s="186">
        <f>+Retribuciones!C492</f>
        <v>444.36</v>
      </c>
      <c r="AQ86" s="186">
        <f>+Retribuciones!C528</f>
        <v>0</v>
      </c>
      <c r="AR86" s="186">
        <f>+Retribuciones!C564</f>
        <v>0</v>
      </c>
      <c r="AS86" s="186">
        <f>+Retribuciones!C600</f>
        <v>0</v>
      </c>
      <c r="AT86" s="186">
        <f>+Retribuciones!C636</f>
        <v>0</v>
      </c>
    </row>
    <row r="87" spans="25:47" ht="12.9" customHeight="1">
      <c r="Y87" s="180">
        <v>0.14000000000000001</v>
      </c>
      <c r="Z87" s="120">
        <v>16</v>
      </c>
      <c r="AA87" s="110" t="s">
        <v>35</v>
      </c>
      <c r="AB87" s="187" t="s">
        <v>98</v>
      </c>
      <c r="AC87" s="186">
        <f>+Retribuciones!C21</f>
        <v>0</v>
      </c>
      <c r="AD87" s="186">
        <f>+Retribuciones!C61</f>
        <v>0</v>
      </c>
      <c r="AE87" s="186">
        <f>+Retribuciones!C97</f>
        <v>0</v>
      </c>
      <c r="AF87" s="186">
        <f ca="1">+Retribuciones!C133</f>
        <v>113.85</v>
      </c>
      <c r="AG87" s="186">
        <v>0</v>
      </c>
      <c r="AH87" s="186">
        <f>+Retribuciones!C205</f>
        <v>35.770000000000003</v>
      </c>
      <c r="AI87" s="186">
        <f>+Retribuciones!C241</f>
        <v>0</v>
      </c>
      <c r="AJ87" s="186">
        <f>+Retribuciones!C277</f>
        <v>0</v>
      </c>
      <c r="AK87" s="186">
        <f>+Retribuciones!C313</f>
        <v>0</v>
      </c>
      <c r="AL87" s="186">
        <f>+Retribuciones!C349</f>
        <v>0</v>
      </c>
      <c r="AM87" s="186">
        <f>+Retribuciones!C385</f>
        <v>0</v>
      </c>
      <c r="AN87" s="186">
        <f>+Retribuciones!C421</f>
        <v>0</v>
      </c>
      <c r="AO87" s="186">
        <f>+Retribuciones!C457</f>
        <v>0</v>
      </c>
      <c r="AP87" s="186">
        <f>+Retribuciones!C493</f>
        <v>0</v>
      </c>
      <c r="AQ87" s="186">
        <f>+Retribuciones!C529</f>
        <v>0</v>
      </c>
      <c r="AR87" s="186">
        <f>+Retribuciones!C565</f>
        <v>0</v>
      </c>
      <c r="AS87" s="186">
        <f>+Retribuciones!C601</f>
        <v>0</v>
      </c>
      <c r="AT87" s="186">
        <f>+Retribuciones!C638</f>
        <v>24.15</v>
      </c>
    </row>
    <row r="88" spans="25:47" ht="12.9" customHeight="1">
      <c r="Y88" s="180">
        <v>0.15</v>
      </c>
      <c r="Z88" s="120">
        <v>17</v>
      </c>
      <c r="AA88" s="110" t="s">
        <v>99</v>
      </c>
      <c r="AB88" s="187" t="s">
        <v>52</v>
      </c>
      <c r="AC88" s="186">
        <f>+Retribuciones!C22</f>
        <v>55</v>
      </c>
      <c r="AD88" s="186">
        <f>+Retribuciones!C62</f>
        <v>85.62</v>
      </c>
      <c r="AE88" s="186">
        <f>+Retribuciones!C98</f>
        <v>96.53</v>
      </c>
      <c r="AF88" s="186">
        <f>+Retribuciones!C134</f>
        <v>120.17</v>
      </c>
      <c r="AG88" s="186">
        <f>+Retribuciones!C170</f>
        <v>68.45</v>
      </c>
      <c r="AH88" s="186">
        <f>+Retribuciones!C206</f>
        <v>108.86</v>
      </c>
      <c r="AI88" s="186">
        <f>+Retribuciones!C242</f>
        <v>90.35</v>
      </c>
      <c r="AJ88" s="186">
        <f>+Retribuciones!C278</f>
        <v>70.22</v>
      </c>
      <c r="AK88" s="186">
        <f>+Retribuciones!C314</f>
        <v>128.88</v>
      </c>
      <c r="AL88" s="186">
        <f>+Retribuciones!C350</f>
        <v>63.89</v>
      </c>
      <c r="AM88" s="186">
        <f>+Retribuciones!C386</f>
        <v>89.63</v>
      </c>
      <c r="AN88" s="186">
        <f>+Retribuciones!C422</f>
        <v>74.3</v>
      </c>
      <c r="AO88" s="186">
        <f>+Retribuciones!C458</f>
        <v>93.28</v>
      </c>
      <c r="AP88" s="186">
        <f>+Retribuciones!C494</f>
        <v>70.45</v>
      </c>
      <c r="AQ88" s="186">
        <f>+Retribuciones!C530</f>
        <v>126.47</v>
      </c>
      <c r="AR88" s="186">
        <f>+Retribuciones!C566</f>
        <v>69.489999999999995</v>
      </c>
      <c r="AS88" s="186">
        <f>+Retribuciones!C602</f>
        <v>89.91</v>
      </c>
      <c r="AT88" s="186">
        <f>+Retribuciones!C639</f>
        <v>227.44</v>
      </c>
    </row>
    <row r="89" spans="25:47" ht="12.9" customHeight="1">
      <c r="Y89" s="180">
        <v>0.16</v>
      </c>
      <c r="Z89" s="120">
        <v>18</v>
      </c>
      <c r="AA89" s="110" t="s">
        <v>100</v>
      </c>
      <c r="AB89" s="187" t="s">
        <v>54</v>
      </c>
      <c r="AC89" s="186">
        <f>+Retribuciones!C23</f>
        <v>64</v>
      </c>
      <c r="AD89" s="186">
        <f>+Retribuciones!C63</f>
        <v>99.51</v>
      </c>
      <c r="AE89" s="186">
        <f>+Retribuciones!C99</f>
        <v>114.53</v>
      </c>
      <c r="AF89" s="186">
        <f>+Retribuciones!C135</f>
        <v>88.42</v>
      </c>
      <c r="AG89" s="186">
        <f>+Retribuciones!C171</f>
        <v>86.34</v>
      </c>
      <c r="AH89" s="186">
        <f>+Retribuciones!C207</f>
        <v>92.21</v>
      </c>
      <c r="AI89" s="186">
        <f>+Retribuciones!C243</f>
        <v>84.89</v>
      </c>
      <c r="AJ89" s="186">
        <f>+Retribuciones!C279</f>
        <v>88.56</v>
      </c>
      <c r="AK89" s="186">
        <f>+Retribuciones!C315</f>
        <v>136.54</v>
      </c>
      <c r="AL89" s="186">
        <f>+Retribuciones!C351</f>
        <v>80.58</v>
      </c>
      <c r="AM89" s="186">
        <f>+Retribuciones!C387</f>
        <v>115.23</v>
      </c>
      <c r="AN89" s="186">
        <f>+Retribuciones!C423</f>
        <v>93.73</v>
      </c>
      <c r="AO89" s="186">
        <f>+Retribuciones!C459</f>
        <v>117.7</v>
      </c>
      <c r="AP89" s="186">
        <f>+Retribuciones!C495</f>
        <v>88.89</v>
      </c>
      <c r="AQ89" s="186">
        <f>+Retribuciones!C531</f>
        <v>133.97</v>
      </c>
      <c r="AR89" s="186">
        <f>+Retribuciones!C567</f>
        <v>87.67</v>
      </c>
      <c r="AS89" s="186">
        <f>+Retribuciones!C603</f>
        <v>0</v>
      </c>
      <c r="AT89" s="186">
        <f>+Retribuciones!C640</f>
        <v>251.59</v>
      </c>
    </row>
    <row r="90" spans="25:47" ht="12.9" customHeight="1">
      <c r="Y90" s="180">
        <v>0.17</v>
      </c>
      <c r="Z90" s="120">
        <v>19</v>
      </c>
      <c r="AA90" s="110" t="s">
        <v>101</v>
      </c>
      <c r="AB90" s="187" t="s">
        <v>56</v>
      </c>
      <c r="AC90" s="186">
        <f>+Retribuciones!C24</f>
        <v>120</v>
      </c>
      <c r="AD90" s="186">
        <f>+Retribuciones!C64</f>
        <v>127.77</v>
      </c>
      <c r="AE90" s="186">
        <f>+Retribuciones!C100</f>
        <v>143.72999999999999</v>
      </c>
      <c r="AF90" s="186">
        <f>+Retribuciones!C136</f>
        <v>117.87</v>
      </c>
      <c r="AG90" s="186">
        <f>+Retribuciones!C172</f>
        <v>115.06</v>
      </c>
      <c r="AH90" s="186">
        <f>+Retribuciones!C208</f>
        <v>122.88</v>
      </c>
      <c r="AI90" s="186">
        <f>+Retribuciones!C244</f>
        <v>113.11</v>
      </c>
      <c r="AJ90" s="186">
        <f>+Retribuciones!C280</f>
        <v>124.87</v>
      </c>
      <c r="AK90" s="186">
        <f>+Retribuciones!C316</f>
        <v>153.66</v>
      </c>
      <c r="AL90" s="186">
        <f>+Retribuciones!C352</f>
        <v>107.36</v>
      </c>
      <c r="AM90" s="186">
        <f>+Retribuciones!C388</f>
        <v>153.66</v>
      </c>
      <c r="AN90" s="186">
        <f>+Retribuciones!C424</f>
        <v>124.96</v>
      </c>
      <c r="AO90" s="186">
        <f>+Retribuciones!C460</f>
        <v>156.82</v>
      </c>
      <c r="AP90" s="186">
        <f>+Retribuciones!C496</f>
        <v>118.44</v>
      </c>
      <c r="AQ90" s="186">
        <f>+Retribuciones!C532</f>
        <v>153.24</v>
      </c>
      <c r="AR90" s="186">
        <f>+Retribuciones!C568</f>
        <v>116.79</v>
      </c>
      <c r="AS90" s="186">
        <f>+Retribuciones!C604</f>
        <v>0</v>
      </c>
      <c r="AT90" s="186">
        <f>+Retribuciones!C641</f>
        <v>454.88</v>
      </c>
    </row>
    <row r="91" spans="25:47" ht="12.9" customHeight="1">
      <c r="Y91" s="180">
        <v>0.18</v>
      </c>
      <c r="Z91" s="120">
        <v>20</v>
      </c>
      <c r="AA91" s="110" t="s">
        <v>41</v>
      </c>
      <c r="AB91" s="187" t="s">
        <v>58</v>
      </c>
      <c r="AC91" s="186">
        <f>+Retribuciones!C25</f>
        <v>180</v>
      </c>
      <c r="AD91" s="186">
        <f>+Retribuciones!C65</f>
        <v>162.29</v>
      </c>
      <c r="AE91" s="186">
        <f>+Retribuciones!C101</f>
        <v>162.77000000000001</v>
      </c>
      <c r="AF91" s="186">
        <f>+Retribuciones!C137</f>
        <v>161.35</v>
      </c>
      <c r="AG91" s="186">
        <f>+Retribuciones!C173</f>
        <v>157.41</v>
      </c>
      <c r="AH91" s="186">
        <f>+Retribuciones!C209</f>
        <v>168.17</v>
      </c>
      <c r="AI91" s="186">
        <f>+Retribuciones!C245</f>
        <v>154.79</v>
      </c>
      <c r="AJ91" s="186">
        <f>+Retribuciones!C281</f>
        <v>251.87</v>
      </c>
      <c r="AK91" s="186">
        <f>+Retribuciones!C317</f>
        <v>166.39</v>
      </c>
      <c r="AL91" s="186">
        <f>+Retribuciones!C353</f>
        <v>146.9</v>
      </c>
      <c r="AM91" s="186">
        <f>+Retribuciones!C389</f>
        <v>217.64</v>
      </c>
      <c r="AN91" s="186">
        <f>+Retribuciones!C425</f>
        <v>171</v>
      </c>
      <c r="AO91" s="186">
        <f>+Retribuciones!C461</f>
        <v>214.64</v>
      </c>
      <c r="AP91" s="186">
        <f>+Retribuciones!C497</f>
        <v>162.07</v>
      </c>
      <c r="AQ91" s="186">
        <f>+Retribuciones!C533</f>
        <v>166.8</v>
      </c>
      <c r="AR91" s="186">
        <f>+Retribuciones!C569</f>
        <v>159.78</v>
      </c>
      <c r="AS91" s="186">
        <f>+Retribuciones!C605</f>
        <v>53.63</v>
      </c>
      <c r="AT91" s="186">
        <f>+Retribuciones!C642</f>
        <v>472.99</v>
      </c>
    </row>
    <row r="92" spans="25:47" ht="12.9" customHeight="1">
      <c r="Y92" s="180">
        <v>0.19</v>
      </c>
      <c r="Z92" s="120">
        <v>21</v>
      </c>
      <c r="AA92" s="110" t="s">
        <v>102</v>
      </c>
      <c r="AB92" s="187" t="s">
        <v>60</v>
      </c>
      <c r="AC92" s="186">
        <f>+Retribuciones!C26</f>
        <v>70</v>
      </c>
      <c r="AD92" s="186">
        <f>+Retribuciones!C66</f>
        <v>63.4</v>
      </c>
      <c r="AE92" s="186">
        <f>+Retribuciones!C102</f>
        <v>60.09</v>
      </c>
      <c r="AF92" s="186">
        <f>+Retribuciones!C138</f>
        <v>47.46</v>
      </c>
      <c r="AG92" s="186">
        <f>+Retribuciones!C174</f>
        <v>46.36</v>
      </c>
      <c r="AH92" s="186">
        <f>+Retribuciones!C210</f>
        <v>49.51</v>
      </c>
      <c r="AI92" s="186">
        <f>+Retribuciones!C246</f>
        <v>59.41</v>
      </c>
      <c r="AJ92" s="186">
        <f>+Retribuciones!C282</f>
        <v>144.80000000000001</v>
      </c>
      <c r="AK92" s="186">
        <f>+Retribuciones!C318</f>
        <v>145.85</v>
      </c>
      <c r="AL92" s="186">
        <f>+Retribuciones!C354</f>
        <v>43.29</v>
      </c>
      <c r="AM92" s="186">
        <f>+Retribuciones!C390</f>
        <v>64</v>
      </c>
      <c r="AN92" s="186">
        <f>+Retribuciones!C426</f>
        <v>50.32</v>
      </c>
      <c r="AO92" s="186">
        <f>+Retribuciones!C462</f>
        <v>63.2</v>
      </c>
      <c r="AP92" s="186">
        <f>+Retribuciones!C498</f>
        <v>47.38</v>
      </c>
      <c r="AQ92" s="186">
        <f>+Retribuciones!C534</f>
        <v>96.97</v>
      </c>
      <c r="AR92" s="186">
        <f>+Retribuciones!C570</f>
        <v>47.08</v>
      </c>
      <c r="AS92" s="186">
        <f>+Retribuciones!C606</f>
        <v>44.44</v>
      </c>
      <c r="AT92" s="186">
        <f>+Retribuciones!C643</f>
        <v>676.28</v>
      </c>
    </row>
    <row r="93" spans="25:47" ht="12.9" customHeight="1">
      <c r="Y93" s="180">
        <v>0.2</v>
      </c>
      <c r="Z93" s="120">
        <v>22</v>
      </c>
      <c r="AB93" s="187" t="s">
        <v>103</v>
      </c>
      <c r="AC93" s="186">
        <f>+Retribuciones!C27</f>
        <v>35</v>
      </c>
      <c r="AD93" s="186">
        <f>+Retribuciones!C67</f>
        <v>31.97</v>
      </c>
      <c r="AE93" s="186">
        <f>+Retribuciones!C103</f>
        <v>0</v>
      </c>
      <c r="AF93" s="186">
        <f>+Retribuciones!C139</f>
        <v>0</v>
      </c>
      <c r="AG93" s="186">
        <f>+Retribuciones!C175</f>
        <v>36.71</v>
      </c>
      <c r="AH93" s="186">
        <f>+Retribuciones!C211</f>
        <v>0</v>
      </c>
      <c r="AI93" s="186">
        <f>+Retribuciones!C247</f>
        <v>0</v>
      </c>
      <c r="AJ93" s="186">
        <f>+Retribuciones!C283</f>
        <v>0</v>
      </c>
      <c r="AK93" s="186">
        <f>+Retribuciones!C319</f>
        <v>93.6</v>
      </c>
      <c r="AL93" s="186">
        <f>+Retribuciones!C355</f>
        <v>47.72</v>
      </c>
      <c r="AM93" s="186">
        <f>+Retribuciones!C391</f>
        <v>66.040000000000006</v>
      </c>
      <c r="AN93" s="186">
        <f>+Retribuciones!C427</f>
        <v>0</v>
      </c>
      <c r="AO93" s="186">
        <f>+Retribuciones!C463</f>
        <v>70.94</v>
      </c>
      <c r="AP93" s="186">
        <f>+Retribuciones!C499</f>
        <v>0</v>
      </c>
      <c r="AQ93" s="186">
        <f>+Retribuciones!C535</f>
        <v>0</v>
      </c>
      <c r="AR93" s="186">
        <f>+Retribuciones!C571</f>
        <v>63.23</v>
      </c>
      <c r="AS93" s="186">
        <f>+Retribuciones!C607</f>
        <v>62.45</v>
      </c>
      <c r="AT93" s="186">
        <f>+Retribuciones!C644</f>
        <v>694.39</v>
      </c>
    </row>
    <row r="94" spans="25:47" ht="12.9" customHeight="1">
      <c r="Y94" s="180">
        <v>0.21</v>
      </c>
      <c r="Z94" s="120">
        <v>23</v>
      </c>
      <c r="AB94" s="188" t="s">
        <v>104</v>
      </c>
      <c r="AC94" s="186">
        <f>+Retribuciones!C29</f>
        <v>160.59</v>
      </c>
      <c r="AD94" s="186">
        <f>+Retribuciones!C69</f>
        <v>0</v>
      </c>
      <c r="AE94" s="186">
        <f>+Retribuciones!C105</f>
        <v>0</v>
      </c>
      <c r="AF94" s="186">
        <f>+Retribuciones!C141</f>
        <v>0</v>
      </c>
      <c r="AG94" s="186">
        <f>+Retribuciones!C177</f>
        <v>0</v>
      </c>
      <c r="AH94" s="186">
        <f>+Retribuciones!C213</f>
        <v>0</v>
      </c>
      <c r="AI94" s="186">
        <f>+Retribuciones!C249</f>
        <v>0</v>
      </c>
      <c r="AJ94" s="186">
        <f>+Retribuciones!C285</f>
        <v>0</v>
      </c>
      <c r="AK94" s="186">
        <f>+Retribuciones!C321</f>
        <v>0</v>
      </c>
      <c r="AL94" s="186">
        <f>+Retribuciones!C357</f>
        <v>0</v>
      </c>
      <c r="AM94" s="186">
        <f>+Retribuciones!C393</f>
        <v>0</v>
      </c>
      <c r="AN94" s="186">
        <f>+Retribuciones!C429</f>
        <v>0</v>
      </c>
      <c r="AO94" s="186">
        <f>+Retribuciones!C465</f>
        <v>0</v>
      </c>
      <c r="AP94" s="186">
        <f>+Retribuciones!C501</f>
        <v>0</v>
      </c>
      <c r="AQ94" s="186">
        <f>+Retribuciones!C537</f>
        <v>0</v>
      </c>
      <c r="AR94" s="186">
        <f>+Retribuciones!C573</f>
        <v>66.760000000000005</v>
      </c>
      <c r="AS94" s="186">
        <f>+Retribuciones!C609</f>
        <v>0</v>
      </c>
      <c r="AT94" s="186">
        <f>+Retribuciones!C645</f>
        <v>706.47</v>
      </c>
    </row>
    <row r="95" spans="25:47" ht="12.9" customHeight="1">
      <c r="Y95" s="180">
        <v>0.22</v>
      </c>
      <c r="Z95" s="120">
        <v>24</v>
      </c>
      <c r="AA95" s="189" t="s">
        <v>105</v>
      </c>
      <c r="AB95" s="188" t="s">
        <v>106</v>
      </c>
      <c r="AC95" s="186">
        <f>+Retribuciones!C30</f>
        <v>534.9</v>
      </c>
      <c r="AD95" s="186">
        <f>+Retribuciones!C70</f>
        <v>0</v>
      </c>
      <c r="AE95" s="186">
        <f>+Retribuciones!C106</f>
        <v>0</v>
      </c>
      <c r="AF95" s="186">
        <f>+Retribuciones!C142</f>
        <v>0</v>
      </c>
      <c r="AG95" s="186">
        <f>+Retribuciones!C178</f>
        <v>693.08</v>
      </c>
      <c r="AH95" s="186">
        <f>+Retribuciones!C214</f>
        <v>0</v>
      </c>
      <c r="AI95" s="186">
        <f>+Retribuciones!C250</f>
        <v>0</v>
      </c>
      <c r="AJ95" s="186">
        <f>+Retribuciones!C286</f>
        <v>0</v>
      </c>
      <c r="AK95" s="186">
        <f>+Retribuciones!C322</f>
        <v>0</v>
      </c>
      <c r="AL95" s="186">
        <f>+Retribuciones!C358</f>
        <v>0</v>
      </c>
      <c r="AM95" s="186">
        <f>+Retribuciones!C394</f>
        <v>0</v>
      </c>
      <c r="AN95" s="186">
        <f>+Retribuciones!C430</f>
        <v>0</v>
      </c>
      <c r="AO95" s="186">
        <f>+Retribuciones!C466</f>
        <v>0</v>
      </c>
      <c r="AP95" s="186">
        <f>+Retribuciones!C502</f>
        <v>0</v>
      </c>
      <c r="AQ95" s="186">
        <f>+Retribuciones!C538</f>
        <v>0</v>
      </c>
      <c r="AR95" s="186">
        <f>+Retribuciones!C574</f>
        <v>1102.57</v>
      </c>
      <c r="AS95" s="186">
        <f>+Retribuciones!C610</f>
        <v>0</v>
      </c>
      <c r="AT95" s="186">
        <f>IF(Retribuciones!$C$11=Retribuciones!$F$11,Retribuciones!F651,IF(Retribuciones!$C$11=Retribuciones!$G$11,Retribuciones!G651,IF(Retribuciones!$C$11=Retribuciones!$H$11,Retribuciones!H651,IF(Retribuciones!$C$11=Retribuciones!$I$11,Retribuciones!I651,IF(Retribuciones!$C$11=Retribuciones!$J$11,Retribuciones!J651,IF(Retribuciones!$C$11=Retribuciones!$K$11,Retribuciones!K651,IF(Retribuciones!$C$11=Retribuciones!$L$11,Retribuciones!L651,IF(Retribuciones!$C$11=Retribuciones!$M$11,Retribuciones!M651,IF(Retribuciones!$C$11=Retribuciones!$N$11,Retribuciones!N651,0)))))))))</f>
        <v>24.15</v>
      </c>
      <c r="AU95" s="120" t="s">
        <v>45</v>
      </c>
    </row>
    <row r="96" spans="25:47" ht="12.9" customHeight="1">
      <c r="Y96" s="180">
        <v>0.23</v>
      </c>
      <c r="Z96" s="120">
        <v>25</v>
      </c>
      <c r="AA96" s="189" t="s">
        <v>107</v>
      </c>
      <c r="AB96" s="188" t="s">
        <v>108</v>
      </c>
      <c r="AC96" s="186">
        <f>+Retribuciones!C31</f>
        <v>37.630000000000003</v>
      </c>
      <c r="AD96" s="186">
        <f>+Retribuciones!C71</f>
        <v>0</v>
      </c>
      <c r="AE96" s="186">
        <f>+Retribuciones!C107</f>
        <v>0</v>
      </c>
      <c r="AF96" s="186">
        <f>+Retribuciones!C143</f>
        <v>0</v>
      </c>
      <c r="AG96" s="186">
        <f>+Retribuciones!C179</f>
        <v>0</v>
      </c>
      <c r="AH96" s="186">
        <f>+Retribuciones!C215</f>
        <v>0</v>
      </c>
      <c r="AI96" s="186">
        <f>+Retribuciones!C251</f>
        <v>0</v>
      </c>
      <c r="AJ96" s="186">
        <f>+Retribuciones!C287</f>
        <v>0</v>
      </c>
      <c r="AK96" s="186">
        <f>+Retribuciones!C323</f>
        <v>0</v>
      </c>
      <c r="AL96" s="186">
        <f>+Retribuciones!C359</f>
        <v>0</v>
      </c>
      <c r="AM96" s="186">
        <f>+Retribuciones!C395</f>
        <v>0</v>
      </c>
      <c r="AN96" s="186">
        <f>+Retribuciones!C431</f>
        <v>0</v>
      </c>
      <c r="AO96" s="186">
        <f>+Retribuciones!C467</f>
        <v>0</v>
      </c>
      <c r="AP96" s="186">
        <f>+Retribuciones!C503</f>
        <v>0</v>
      </c>
      <c r="AQ96" s="186">
        <f>+Retribuciones!C539</f>
        <v>0</v>
      </c>
      <c r="AR96" s="186">
        <f>+Retribuciones!C575</f>
        <v>0</v>
      </c>
      <c r="AS96" s="186">
        <f>+Retribuciones!C611</f>
        <v>0</v>
      </c>
      <c r="AT96" s="186">
        <f>+Retribuciones!C647</f>
        <v>921.83</v>
      </c>
    </row>
    <row r="97" spans="25:46" ht="12.9" customHeight="1">
      <c r="Y97" s="180">
        <v>0.24</v>
      </c>
      <c r="Z97" s="120">
        <v>26</v>
      </c>
      <c r="AA97" s="189" t="s">
        <v>4</v>
      </c>
      <c r="AB97" s="190" t="s">
        <v>109</v>
      </c>
      <c r="AC97" s="186">
        <f>+Retribuciones!C32</f>
        <v>0</v>
      </c>
      <c r="AD97" s="186">
        <f>+Retribuciones!C72</f>
        <v>0</v>
      </c>
      <c r="AE97" s="186">
        <f>+Retribuciones!C108</f>
        <v>0</v>
      </c>
      <c r="AF97" s="186">
        <f>+Retribuciones!C144</f>
        <v>0</v>
      </c>
      <c r="AG97" s="186">
        <f>+Retribuciones!C180</f>
        <v>0</v>
      </c>
      <c r="AH97" s="186">
        <f>+Retribuciones!C216</f>
        <v>0</v>
      </c>
      <c r="AI97" s="186">
        <f>+Retribuciones!C252</f>
        <v>0</v>
      </c>
      <c r="AJ97" s="186">
        <f>+Retribuciones!C288</f>
        <v>0</v>
      </c>
      <c r="AK97" s="186">
        <f>+Retribuciones!C324</f>
        <v>0</v>
      </c>
      <c r="AL97" s="186">
        <f>+Retribuciones!C360</f>
        <v>0</v>
      </c>
      <c r="AM97" s="186">
        <f>+Retribuciones!C396</f>
        <v>0</v>
      </c>
      <c r="AN97" s="186">
        <f>+Retribuciones!C432</f>
        <v>0</v>
      </c>
      <c r="AO97" s="186">
        <f>+Retribuciones!C468</f>
        <v>0</v>
      </c>
      <c r="AP97" s="186">
        <f>+Retribuciones!C504</f>
        <v>0</v>
      </c>
      <c r="AQ97" s="186">
        <f>+Retribuciones!C540</f>
        <v>0</v>
      </c>
      <c r="AR97" s="186">
        <f>+Retribuciones!C576</f>
        <v>0</v>
      </c>
      <c r="AS97" s="186">
        <f>+Retribuciones!C612</f>
        <v>0</v>
      </c>
      <c r="AT97" s="186">
        <f>+Retribuciones!C652</f>
        <v>0</v>
      </c>
    </row>
    <row r="98" spans="25:46" ht="12.9" customHeight="1">
      <c r="Y98" s="180">
        <v>0.25</v>
      </c>
      <c r="Z98" s="120">
        <v>27</v>
      </c>
      <c r="AA98" s="189" t="s">
        <v>110</v>
      </c>
      <c r="AB98" s="191" t="s">
        <v>111</v>
      </c>
      <c r="AC98" s="186">
        <f>+Retribuciones!C33</f>
        <v>0</v>
      </c>
      <c r="AD98" s="186">
        <f>+Retribuciones!C73</f>
        <v>0</v>
      </c>
      <c r="AE98" s="186">
        <f>+Retribuciones!C109</f>
        <v>0</v>
      </c>
      <c r="AF98" s="186">
        <f>+Retribuciones!C145</f>
        <v>0</v>
      </c>
      <c r="AG98" s="186">
        <f>+Retribuciones!C181</f>
        <v>52.53</v>
      </c>
      <c r="AH98" s="186">
        <f>+Retribuciones!C217</f>
        <v>0</v>
      </c>
      <c r="AI98" s="186">
        <f>+Retribuciones!C253</f>
        <v>0</v>
      </c>
      <c r="AJ98" s="186">
        <f>+Retribuciones!C289</f>
        <v>27.04</v>
      </c>
      <c r="AK98" s="186">
        <f>+Retribuciones!C325</f>
        <v>0</v>
      </c>
      <c r="AL98" s="186">
        <f>+Retribuciones!C361</f>
        <v>0</v>
      </c>
      <c r="AM98" s="186">
        <f>+Retribuciones!C397</f>
        <v>0</v>
      </c>
      <c r="AN98" s="186">
        <f>+Retribuciones!C433</f>
        <v>0</v>
      </c>
      <c r="AO98" s="186">
        <f>+Retribuciones!C469</f>
        <v>0</v>
      </c>
      <c r="AP98" s="186">
        <f>+Retribuciones!C505</f>
        <v>160.6</v>
      </c>
      <c r="AQ98" s="186">
        <f>+Retribuciones!C541</f>
        <v>0</v>
      </c>
      <c r="AR98" s="186">
        <f>+Retribuciones!C577</f>
        <v>0</v>
      </c>
      <c r="AS98" s="186">
        <f>+Retribuciones!C613</f>
        <v>0</v>
      </c>
      <c r="AT98" s="186">
        <f>+Retribuciones!C649</f>
        <v>1149.27</v>
      </c>
    </row>
    <row r="99" spans="25:46" ht="12.9" customHeight="1">
      <c r="Y99" s="180">
        <v>0.26</v>
      </c>
      <c r="Z99" s="120">
        <v>28</v>
      </c>
      <c r="AA99" s="189" t="s">
        <v>112</v>
      </c>
      <c r="AB99" s="191" t="s">
        <v>113</v>
      </c>
      <c r="AC99" s="186">
        <f>+Retribuciones!C34</f>
        <v>0</v>
      </c>
      <c r="AD99" s="186">
        <f>+Retribuciones!C74</f>
        <v>0</v>
      </c>
      <c r="AE99" s="186">
        <f>+Retribuciones!C110</f>
        <v>0</v>
      </c>
      <c r="AF99" s="186">
        <f>+Retribuciones!C146</f>
        <v>0</v>
      </c>
      <c r="AG99" s="186">
        <f>+Retribuciones!C182</f>
        <v>80</v>
      </c>
      <c r="AH99" s="186">
        <f>+Retribuciones!C218</f>
        <v>0</v>
      </c>
      <c r="AI99" s="186">
        <f>+Retribuciones!C254</f>
        <v>0</v>
      </c>
      <c r="AJ99" s="186">
        <f>+Retribuciones!C290</f>
        <v>0</v>
      </c>
      <c r="AK99" s="186">
        <f>+Retribuciones!C326</f>
        <v>0</v>
      </c>
      <c r="AL99" s="186">
        <f>+Retribuciones!C362</f>
        <v>0</v>
      </c>
      <c r="AM99" s="186">
        <f>+Retribuciones!C398</f>
        <v>0</v>
      </c>
      <c r="AN99" s="186">
        <f>+Retribuciones!C434</f>
        <v>0</v>
      </c>
      <c r="AO99" s="186">
        <f>+Retribuciones!C470</f>
        <v>0</v>
      </c>
      <c r="AP99" s="186">
        <f>+Retribuciones!C506</f>
        <v>1080.9000000000001</v>
      </c>
      <c r="AQ99" s="186">
        <f>+Retribuciones!C542</f>
        <v>0</v>
      </c>
      <c r="AR99" s="186">
        <f>+Retribuciones!C578</f>
        <v>0</v>
      </c>
      <c r="AS99" s="186">
        <f>+Retribuciones!C614</f>
        <v>0</v>
      </c>
      <c r="AT99" s="186">
        <f>+Retribuciones!C650</f>
        <v>1149.27</v>
      </c>
    </row>
    <row r="100" spans="25:46" ht="12.9" customHeight="1">
      <c r="Y100" s="180">
        <v>0.27</v>
      </c>
      <c r="Z100" s="120">
        <v>29</v>
      </c>
      <c r="AA100" s="189" t="s">
        <v>114</v>
      </c>
      <c r="AB100" s="191" t="s">
        <v>115</v>
      </c>
      <c r="AC100" s="186">
        <f>+Retribuciones!C35</f>
        <v>0</v>
      </c>
      <c r="AD100" s="186">
        <f>+Retribuciones!C75</f>
        <v>0</v>
      </c>
      <c r="AE100" s="186">
        <f>+Retribuciones!C111</f>
        <v>0</v>
      </c>
      <c r="AF100" s="186">
        <f>+Retribuciones!C147</f>
        <v>0</v>
      </c>
      <c r="AG100" s="186">
        <f>+Retribuciones!C183</f>
        <v>0</v>
      </c>
      <c r="AH100" s="186">
        <f>+Retribuciones!C219</f>
        <v>0</v>
      </c>
      <c r="AI100" s="186">
        <f>+Retribuciones!C255</f>
        <v>0</v>
      </c>
      <c r="AJ100" s="186">
        <f>+Retribuciones!C291</f>
        <v>0</v>
      </c>
      <c r="AK100" s="186">
        <f>+Retribuciones!C327</f>
        <v>0</v>
      </c>
      <c r="AL100" s="186">
        <f>+Retribuciones!C363</f>
        <v>0</v>
      </c>
      <c r="AM100" s="186">
        <f>+Retribuciones!C399</f>
        <v>0</v>
      </c>
      <c r="AN100" s="186">
        <f>+Retribuciones!C435</f>
        <v>0</v>
      </c>
      <c r="AO100" s="186">
        <f>+Retribuciones!C471</f>
        <v>0</v>
      </c>
      <c r="AP100" s="186">
        <f>+Retribuciones!C507</f>
        <v>0</v>
      </c>
      <c r="AQ100" s="186">
        <f>+Retribuciones!C543</f>
        <v>0</v>
      </c>
      <c r="AR100" s="186">
        <f>+Retribuciones!C579</f>
        <v>0</v>
      </c>
      <c r="AS100" s="186">
        <f>+Retribuciones!C615</f>
        <v>0</v>
      </c>
      <c r="AT100" s="186">
        <f>+Retribuciones!C651</f>
        <v>24.15</v>
      </c>
    </row>
    <row r="101" spans="25:46" ht="12.9" customHeight="1">
      <c r="Y101" s="180">
        <v>0.28000000000000003</v>
      </c>
      <c r="Z101" s="120">
        <v>30</v>
      </c>
      <c r="AA101" s="189" t="s">
        <v>116</v>
      </c>
      <c r="AB101" s="192" t="s">
        <v>117</v>
      </c>
      <c r="AC101" s="186">
        <f>+Retribuciones!C36</f>
        <v>0</v>
      </c>
      <c r="AD101" s="186">
        <f>+Retribuciones!C76</f>
        <v>0</v>
      </c>
      <c r="AE101" s="186">
        <f>+Retribuciones!C112</f>
        <v>0</v>
      </c>
      <c r="AF101" s="186">
        <f>+Retribuciones!C148</f>
        <v>0</v>
      </c>
      <c r="AG101" s="186">
        <f>+Retribuciones!C184</f>
        <v>0</v>
      </c>
      <c r="AH101" s="186">
        <f>+Retribuciones!C220</f>
        <v>0</v>
      </c>
      <c r="AI101" s="186">
        <f>+Retribuciones!C256</f>
        <v>0</v>
      </c>
      <c r="AJ101" s="186">
        <f>+Retribuciones!C292</f>
        <v>0</v>
      </c>
      <c r="AK101" s="186">
        <f>+Retribuciones!C328</f>
        <v>0</v>
      </c>
      <c r="AL101" s="186">
        <f>+Retribuciones!C364</f>
        <v>0</v>
      </c>
      <c r="AM101" s="186">
        <f>+Retribuciones!C400</f>
        <v>0</v>
      </c>
      <c r="AN101" s="186">
        <f>+Retribuciones!C436</f>
        <v>0</v>
      </c>
      <c r="AO101" s="186">
        <f>+Retribuciones!C472</f>
        <v>0</v>
      </c>
      <c r="AP101" s="186">
        <f>+Retribuciones!C508</f>
        <v>0</v>
      </c>
      <c r="AQ101" s="186">
        <f>+Retribuciones!C544</f>
        <v>0</v>
      </c>
      <c r="AR101" s="186">
        <f>+Retribuciones!C580</f>
        <v>0</v>
      </c>
      <c r="AS101" s="186">
        <f>+Retribuciones!C616</f>
        <v>0</v>
      </c>
      <c r="AT101" s="186">
        <f>+Retribuciones!C652</f>
        <v>0</v>
      </c>
    </row>
    <row r="102" spans="25:46" ht="12.9" customHeight="1">
      <c r="Y102" s="180">
        <v>0.28999999999999998</v>
      </c>
      <c r="Z102" s="120">
        <v>31</v>
      </c>
      <c r="AA102" s="189" t="s">
        <v>118</v>
      </c>
      <c r="AB102" s="193" t="s">
        <v>119</v>
      </c>
      <c r="AC102" s="186">
        <f>+Retribuciones!C41</f>
        <v>-51.68</v>
      </c>
      <c r="AD102" s="186">
        <f>+Retribuciones!C77</f>
        <v>-51.68</v>
      </c>
      <c r="AE102" s="186">
        <f>+Retribuciones!C113</f>
        <v>-51.68</v>
      </c>
      <c r="AF102" s="186">
        <f>+Retribuciones!C149</f>
        <v>-51.68</v>
      </c>
      <c r="AG102" s="186">
        <f>+Retribuciones!C185</f>
        <v>-51.68</v>
      </c>
      <c r="AH102" s="186">
        <f>+Retribuciones!C221</f>
        <v>-51.68</v>
      </c>
      <c r="AI102" s="186">
        <f>+Retribuciones!C257</f>
        <v>-51.68</v>
      </c>
      <c r="AJ102" s="186">
        <f>+Retribuciones!C293</f>
        <v>-51.68</v>
      </c>
      <c r="AK102" s="186">
        <f>+Retribuciones!C329</f>
        <v>-51.68</v>
      </c>
      <c r="AL102" s="186">
        <f>+Retribuciones!C365</f>
        <v>-51.68</v>
      </c>
      <c r="AM102" s="186">
        <f>+Retribuciones!C401</f>
        <v>-51.68</v>
      </c>
      <c r="AN102" s="186">
        <f>+Retribuciones!C437</f>
        <v>-51.68</v>
      </c>
      <c r="AO102" s="186">
        <f>+Retribuciones!C473</f>
        <v>-51.68</v>
      </c>
      <c r="AP102" s="186">
        <f>+Retribuciones!C509</f>
        <v>-51.68</v>
      </c>
      <c r="AQ102" s="186">
        <f>+Retribuciones!C545</f>
        <v>-51.68</v>
      </c>
      <c r="AR102" s="186">
        <f>+Retribuciones!C581</f>
        <v>-51.68</v>
      </c>
      <c r="AS102" s="186">
        <f>+Retribuciones!C617</f>
        <v>-51.68</v>
      </c>
      <c r="AT102" s="186">
        <f>+Retribuciones!C653</f>
        <v>-51.68</v>
      </c>
    </row>
    <row r="103" spans="25:46" ht="12.9" customHeight="1">
      <c r="Y103" s="180">
        <v>0.3</v>
      </c>
      <c r="Z103" s="120">
        <v>32</v>
      </c>
      <c r="AA103" s="189" t="s">
        <v>120</v>
      </c>
      <c r="AB103" s="193" t="s">
        <v>121</v>
      </c>
      <c r="AC103" s="186">
        <f>+Retribuciones!C42</f>
        <v>118.04</v>
      </c>
      <c r="AD103" s="186">
        <f>+Retribuciones!C78</f>
        <v>118.04</v>
      </c>
      <c r="AE103" s="186">
        <f>+Retribuciones!C114</f>
        <v>118.04</v>
      </c>
      <c r="AF103" s="186">
        <f>+Retribuciones!C150</f>
        <v>118.04</v>
      </c>
      <c r="AG103" s="186">
        <f>+Retribuciones!C186</f>
        <v>118.04</v>
      </c>
      <c r="AH103" s="186">
        <f>+Retribuciones!C222</f>
        <v>118.04</v>
      </c>
      <c r="AI103" s="186">
        <f>+Retribuciones!C258</f>
        <v>118.04</v>
      </c>
      <c r="AJ103" s="186">
        <f>+Retribuciones!C294</f>
        <v>118.04</v>
      </c>
      <c r="AK103" s="186">
        <f>+Retribuciones!C330</f>
        <v>118.04</v>
      </c>
      <c r="AL103" s="186">
        <f>+Retribuciones!C366</f>
        <v>118.04</v>
      </c>
      <c r="AM103" s="186">
        <f>+Retribuciones!C402</f>
        <v>118.04</v>
      </c>
      <c r="AN103" s="186">
        <f>+Retribuciones!C438</f>
        <v>118.04</v>
      </c>
      <c r="AO103" s="186">
        <f>+Retribuciones!C474</f>
        <v>118.04</v>
      </c>
      <c r="AP103" s="186">
        <f>+Retribuciones!C510</f>
        <v>118.04</v>
      </c>
      <c r="AQ103" s="186">
        <f>+Retribuciones!C546</f>
        <v>118.04</v>
      </c>
      <c r="AR103" s="186">
        <f>+Retribuciones!C582</f>
        <v>118.04</v>
      </c>
      <c r="AS103" s="186">
        <f>+Retribuciones!C618</f>
        <v>118.04</v>
      </c>
      <c r="AT103" s="186">
        <f>+Retribuciones!C654</f>
        <v>118.04</v>
      </c>
    </row>
    <row r="104" spans="25:46" ht="12.9" customHeight="1">
      <c r="Y104" s="180"/>
      <c r="Z104" s="120">
        <v>33</v>
      </c>
      <c r="AB104" s="194" t="s">
        <v>80</v>
      </c>
      <c r="AC104" s="186">
        <f>+Retribuciones!C43</f>
        <v>50376.399999999994</v>
      </c>
      <c r="AD104" s="186">
        <f>+Retribuciones!C79</f>
        <v>46526.579999999994</v>
      </c>
      <c r="AE104" s="186">
        <f>+Retribuciones!C115</f>
        <v>44370.816000000006</v>
      </c>
      <c r="AF104" s="186">
        <f ca="1">+Retribuciones!C151</f>
        <v>43975.819999999992</v>
      </c>
      <c r="AG104" s="186">
        <f>+Retribuciones!C187</f>
        <v>49767.28</v>
      </c>
      <c r="AH104" s="186">
        <f>+Retribuciones!C223</f>
        <v>48303.319999999992</v>
      </c>
      <c r="AI104" s="186">
        <f>+Retribuciones!C259</f>
        <v>41425.120000000003</v>
      </c>
      <c r="AJ104" s="186">
        <f>+Retribuciones!C295</f>
        <v>39663.880000000005</v>
      </c>
      <c r="AK104" s="186">
        <f>+Retribuciones!C331</f>
        <v>39365.160000000003</v>
      </c>
      <c r="AL104" s="186">
        <f>+Retribuciones!C367</f>
        <v>42106.920000000006</v>
      </c>
      <c r="AM104" s="186">
        <f>+Retribuciones!C403</f>
        <v>45288.639999999999</v>
      </c>
      <c r="AN104" s="186">
        <f>+Retribuciones!C439</f>
        <v>42008.499999999993</v>
      </c>
      <c r="AO104" s="186">
        <f>+Retribuciones!C475</f>
        <v>48798.947999999989</v>
      </c>
      <c r="AP104" s="186">
        <f>+Retribuciones!C511</f>
        <v>44422.119999999995</v>
      </c>
      <c r="AQ104" s="186">
        <f>+Retribuciones!C547</f>
        <v>46283.399999999994</v>
      </c>
      <c r="AR104" s="186">
        <f>+Retribuciones!C583</f>
        <v>52344.139999999992</v>
      </c>
      <c r="AS104" s="186">
        <f>+Retribuciones!C619</f>
        <v>44993.01999999999</v>
      </c>
      <c r="AT104" s="186">
        <f>+Retribuciones!C655</f>
        <v>47291.16</v>
      </c>
    </row>
    <row r="105" spans="25:46" ht="12.9" customHeight="1">
      <c r="Y105" s="180"/>
      <c r="Z105" s="120">
        <v>34</v>
      </c>
      <c r="AA105" s="120" t="str">
        <f>+C5</f>
        <v>590-Profesores Enseñanza Secundaria</v>
      </c>
      <c r="AC105" s="186">
        <f>+Retribuciones!C44</f>
        <v>0</v>
      </c>
    </row>
    <row r="106" spans="25:46" ht="12.9" customHeight="1">
      <c r="Y106" s="180"/>
      <c r="Z106" s="120">
        <v>35</v>
      </c>
    </row>
    <row r="107" spans="25:46" ht="12.9" customHeight="1">
      <c r="Y107" s="180"/>
      <c r="Z107" s="120">
        <v>36</v>
      </c>
      <c r="AB107" s="134" t="s">
        <v>25</v>
      </c>
    </row>
    <row r="108" spans="25:46" ht="12.9" customHeight="1">
      <c r="Y108" s="180"/>
      <c r="Z108" s="120">
        <v>37</v>
      </c>
      <c r="AB108" s="134" t="s">
        <v>26</v>
      </c>
    </row>
    <row r="109" spans="25:46" ht="12.9" customHeight="1">
      <c r="Y109" s="180"/>
      <c r="Z109" s="120">
        <v>38</v>
      </c>
      <c r="AB109" s="134" t="s">
        <v>27</v>
      </c>
    </row>
    <row r="110" spans="25:46" ht="12.9" customHeight="1">
      <c r="Y110" s="180"/>
      <c r="Z110" s="120">
        <v>39</v>
      </c>
      <c r="AB110" s="134" t="s">
        <v>28</v>
      </c>
    </row>
    <row r="111" spans="25:46" ht="12.9" customHeight="1">
      <c r="Y111" s="180"/>
      <c r="Z111" s="120">
        <v>40</v>
      </c>
      <c r="AB111" s="134" t="s">
        <v>29</v>
      </c>
    </row>
    <row r="112" spans="25:46" ht="12.9" customHeight="1">
      <c r="Y112" s="180"/>
      <c r="Z112" s="120">
        <v>41</v>
      </c>
      <c r="AB112" s="134" t="s">
        <v>30</v>
      </c>
    </row>
    <row r="113" spans="25:28" ht="12.9" customHeight="1">
      <c r="Y113" s="180"/>
      <c r="Z113" s="120">
        <v>42</v>
      </c>
      <c r="AB113" s="134" t="s">
        <v>31</v>
      </c>
    </row>
    <row r="114" spans="25:28" ht="12.9" customHeight="1">
      <c r="Y114" s="180"/>
      <c r="Z114" s="120">
        <v>43</v>
      </c>
      <c r="AB114" s="134" t="s">
        <v>32</v>
      </c>
    </row>
    <row r="115" spans="25:28" ht="12.9" customHeight="1">
      <c r="Z115" s="120">
        <v>44</v>
      </c>
      <c r="AB115" s="134" t="s">
        <v>33</v>
      </c>
    </row>
    <row r="116" spans="25:28" ht="12.9" customHeight="1">
      <c r="Z116" s="120">
        <v>45</v>
      </c>
      <c r="AB116" s="134" t="s">
        <v>34</v>
      </c>
    </row>
    <row r="117" spans="25:28" ht="12.9" customHeight="1">
      <c r="Z117" s="120">
        <v>46</v>
      </c>
      <c r="AB117" s="134" t="s">
        <v>35</v>
      </c>
    </row>
    <row r="118" spans="25:28" ht="12.9" customHeight="1">
      <c r="Z118" s="120">
        <v>47</v>
      </c>
      <c r="AB118" s="134" t="s">
        <v>36</v>
      </c>
    </row>
    <row r="119" spans="25:28" ht="12.9" customHeight="1">
      <c r="Z119" s="120">
        <v>48</v>
      </c>
      <c r="AB119" s="134" t="s">
        <v>37</v>
      </c>
    </row>
    <row r="120" spans="25:28" ht="12.9" customHeight="1">
      <c r="Z120" s="120">
        <v>49</v>
      </c>
      <c r="AB120" s="134" t="s">
        <v>38</v>
      </c>
    </row>
    <row r="121" spans="25:28" ht="12.9" customHeight="1">
      <c r="Z121" s="120">
        <v>50</v>
      </c>
      <c r="AB121" s="134" t="s">
        <v>39</v>
      </c>
    </row>
    <row r="122" spans="25:28" ht="12.9" customHeight="1">
      <c r="AB122" s="134" t="s">
        <v>40</v>
      </c>
    </row>
    <row r="123" spans="25:28" ht="12.9" customHeight="1">
      <c r="AB123" s="134" t="s">
        <v>41</v>
      </c>
    </row>
    <row r="124" spans="25:28" ht="12.9" customHeight="1">
      <c r="AB124" s="134" t="s">
        <v>42</v>
      </c>
    </row>
  </sheetData>
  <sheetProtection selectLockedCells="1"/>
  <protectedRanges>
    <protectedRange sqref="B60:B61" name="Rango1"/>
  </protectedRanges>
  <mergeCells count="23">
    <mergeCell ref="C11:D11"/>
    <mergeCell ref="C12:D12"/>
    <mergeCell ref="B2:E2"/>
    <mergeCell ref="B3:E3"/>
    <mergeCell ref="C5:F5"/>
    <mergeCell ref="C6:D6"/>
    <mergeCell ref="C7:D7"/>
    <mergeCell ref="V64:V66"/>
    <mergeCell ref="E6:F14"/>
    <mergeCell ref="J3:U14"/>
    <mergeCell ref="B63:U63"/>
    <mergeCell ref="B67:F67"/>
    <mergeCell ref="B60:B61"/>
    <mergeCell ref="U50:U52"/>
    <mergeCell ref="U64:U66"/>
    <mergeCell ref="C13:D13"/>
    <mergeCell ref="C14:D14"/>
    <mergeCell ref="B15:U15"/>
    <mergeCell ref="B43:U43"/>
    <mergeCell ref="B58:U58"/>
    <mergeCell ref="C8:D8"/>
    <mergeCell ref="C9:D9"/>
    <mergeCell ref="C10:D10"/>
  </mergeCells>
  <conditionalFormatting sqref="U61">
    <cfRule type="cellIs" dxfId="1" priority="1" operator="lessThan">
      <formula>0</formula>
    </cfRule>
    <cfRule type="cellIs" dxfId="0" priority="2" operator="lessThan">
      <formula>0</formula>
    </cfRule>
  </conditionalFormatting>
  <dataValidations count="8">
    <dataValidation type="list" allowBlank="1" showInputMessage="1" showErrorMessage="1" sqref="C5:F5" xr:uid="{00000000-0002-0000-0000-000000000000}">
      <formula1>$AA$95:$AA$103</formula1>
    </dataValidation>
    <dataValidation type="list" allowBlank="1" showInputMessage="1" showErrorMessage="1" sqref="C6:D6" xr:uid="{00000000-0002-0000-0000-000001000000}">
      <formula1>$AA$72:$AA$73</formula1>
    </dataValidation>
    <dataValidation type="list" allowBlank="1" showErrorMessage="1" promptTitle="AÑOS DE SERVICIO" prompt="Seleccionar el número de años de servicio a efectos de trienio" sqref="C7" xr:uid="{00000000-0002-0000-0000-000002000000}">
      <formula1>$Z$71:$Z$121</formula1>
    </dataValidation>
    <dataValidation type="list" allowBlank="1" showErrorMessage="1" promptTitle="PRIMERO Y SEGUNDO DE LA ESO" prompt="Introducir lo que corresponda" sqref="C8" xr:uid="{00000000-0002-0000-0000-000003000000}">
      <formula1>$Y$71:$Y$72</formula1>
    </dataValidation>
    <dataValidation type="list" allowBlank="1" showInputMessage="1" showErrorMessage="1" sqref="H10" xr:uid="{00000000-0002-0000-0000-000004000000}">
      <formula1>"Mallorca,Menorca,Ibiza,Formentera"</formula1>
    </dataValidation>
    <dataValidation type="list" allowBlank="1" showInputMessage="1" showErrorMessage="1" sqref="C14:D14" xr:uid="{00000000-0002-0000-0000-000007000000}">
      <formula1>$Y$75:$Y$103</formula1>
    </dataValidation>
    <dataValidation type="list" allowBlank="1" showInputMessage="1" showErrorMessage="1" sqref="B60" xr:uid="{00000000-0002-0000-0000-000008000000}">
      <formula1>$AB$107:$AB$124</formula1>
    </dataValidation>
    <dataValidation type="list" allowBlank="1" showErrorMessage="1" promptTitle="DESTINO EN ISLA NO CAPITALINA" prompt="-Si se tienen destino en una isla capitalina, seleccionar = N_x000a_-Si se tiene destino en una isla no capitalina, seleccionar = S" sqref="C9:C11" xr:uid="{00000000-0002-0000-0000-000009000000}">
      <formula1>$Y$71:$Y$72</formula1>
    </dataValidation>
  </dataValidations>
  <pageMargins left="0.31496062992126" right="0.31496062992126" top="0.35433070866141703" bottom="0.35433070866141703" header="0.31496062992126" footer="0.31496062992126"/>
  <pageSetup paperSize="9" scale="21" orientation="landscape"/>
  <ignoredErrors>
    <ignoredError sqref="D44" evalError="1"/>
    <ignoredError sqref="G44:G45 D41 P41 P37:P39 G33:G34 G28" formula="1"/>
  </ignoredError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promptTitle="DESTINO EN ISLA NO CAPITALINA" prompt="-Si se tienen destino en una isla capitalina, seleccionar = N_x000a_-Si se tiene destino en una isla no capitalina, seleccionar = S" xr:uid="{00000000-0002-0000-0000-000005000000}">
          <x14:formula1>
            <xm:f>Retribuciones!$I$1:$I$5</xm:f>
          </x14:formula1>
          <xm:sqref>C12:D12</xm:sqref>
        </x14:dataValidation>
        <x14:dataValidation type="list" showErrorMessage="1" promptTitle="DESTINO EN ISLA NO CAPITALINA" prompt="-Si se tienen destino en una isla capitalina, seleccionar = N_x000a_-Si se tiene destino en una isla no capitalina, seleccionar = S" xr:uid="{00000000-0002-0000-0000-000006000000}">
          <x14:formula1>
            <xm:f>Retribuciones!$L$2:$L$7</xm:f>
          </x14:formula1>
          <xm:sqref>C13:D13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655"/>
  <sheetViews>
    <sheetView topLeftCell="C1" zoomScale="85" zoomScaleNormal="85" workbookViewId="0">
      <selection activeCell="F281" sqref="F281"/>
    </sheetView>
  </sheetViews>
  <sheetFormatPr baseColWidth="10" defaultColWidth="11.44140625" defaultRowHeight="14.4"/>
  <cols>
    <col min="1" max="1" width="3.109375" style="3" customWidth="1"/>
    <col min="2" max="2" width="49.6640625" style="3" customWidth="1"/>
    <col min="3" max="3" width="11.44140625" style="3" customWidth="1"/>
    <col min="4" max="4" width="3.5546875" style="3" customWidth="1"/>
    <col min="5" max="5" width="36.33203125" style="3" customWidth="1"/>
    <col min="6" max="14" width="11.44140625" style="3"/>
    <col min="15" max="15" width="10" style="3" customWidth="1"/>
    <col min="16" max="16" width="21.33203125" style="3" customWidth="1"/>
    <col min="17" max="17" width="11.6640625" style="3" customWidth="1"/>
    <col min="18" max="21" width="10" style="3" customWidth="1"/>
    <col min="22" max="22" width="14.21875" style="3" customWidth="1"/>
    <col min="23" max="23" width="16" style="3" customWidth="1"/>
    <col min="24" max="25" width="10" style="3" customWidth="1"/>
    <col min="26" max="26" width="20" style="3" customWidth="1"/>
    <col min="27" max="27" width="16.6640625" style="3" customWidth="1"/>
    <col min="28" max="28" width="18.109375" style="3" customWidth="1"/>
    <col min="29" max="29" width="16.5546875" style="3" customWidth="1"/>
    <col min="30" max="30" width="16.33203125" style="3" customWidth="1"/>
    <col min="31" max="31" width="13" style="3" customWidth="1"/>
    <col min="32" max="32" width="12.21875" style="3" customWidth="1"/>
    <col min="33" max="33" width="7.6640625" style="3" customWidth="1"/>
    <col min="34" max="34" width="8.33203125" style="3" customWidth="1"/>
    <col min="35" max="35" width="7.5546875" style="3" customWidth="1"/>
    <col min="36" max="16384" width="11.44140625" style="3"/>
  </cols>
  <sheetData>
    <row r="1" spans="2:27">
      <c r="B1" s="4" t="s">
        <v>3</v>
      </c>
      <c r="C1" s="3" t="str">
        <f>+'Nómina mensual'!C5:E5</f>
        <v>590-Profesores Enseñanza Secundaria</v>
      </c>
      <c r="F1" s="3" t="s">
        <v>5</v>
      </c>
      <c r="G1" s="3" t="str">
        <f>'Nómina mensual'!H5</f>
        <v>A1</v>
      </c>
      <c r="I1" s="3" t="s">
        <v>20</v>
      </c>
    </row>
    <row r="2" spans="2:27">
      <c r="B2" s="4" t="s">
        <v>6</v>
      </c>
      <c r="C2" s="3" t="str">
        <f>+'Nómina mensual'!C6:E6</f>
        <v>Carrera</v>
      </c>
      <c r="E2" s="241" t="s">
        <v>122</v>
      </c>
      <c r="F2" s="241"/>
      <c r="G2" s="241"/>
      <c r="I2" s="3" t="s">
        <v>123</v>
      </c>
      <c r="L2" s="3" t="s">
        <v>124</v>
      </c>
    </row>
    <row r="3" spans="2:27">
      <c r="B3" s="4" t="s">
        <v>125</v>
      </c>
      <c r="C3" s="3">
        <f>+'Nómina mensual'!C7:E7</f>
        <v>5</v>
      </c>
      <c r="I3" s="3" t="s">
        <v>126</v>
      </c>
      <c r="L3" s="3" t="s">
        <v>127</v>
      </c>
    </row>
    <row r="4" spans="2:27">
      <c r="B4" s="4" t="s">
        <v>128</v>
      </c>
      <c r="C4" s="3" t="str">
        <f>+'Nómina mensual'!C8:E8</f>
        <v>NO</v>
      </c>
      <c r="I4" s="3" t="s">
        <v>129</v>
      </c>
      <c r="L4" s="3" t="s">
        <v>22</v>
      </c>
    </row>
    <row r="5" spans="2:27">
      <c r="B5" s="5" t="s">
        <v>12</v>
      </c>
      <c r="C5" s="3" t="str">
        <f>+'Nómina mensual'!C9:E9</f>
        <v>NO</v>
      </c>
      <c r="I5" s="3" t="s">
        <v>130</v>
      </c>
      <c r="L5" s="3" t="s">
        <v>131</v>
      </c>
    </row>
    <row r="6" spans="2:27">
      <c r="B6" s="6" t="s">
        <v>132</v>
      </c>
      <c r="C6" s="3" t="str">
        <f>+'Nómina mensual'!C10:E10</f>
        <v>SI</v>
      </c>
      <c r="L6" s="3" t="s">
        <v>133</v>
      </c>
    </row>
    <row r="7" spans="2:27">
      <c r="B7" s="7" t="s">
        <v>18</v>
      </c>
      <c r="C7" s="3" t="str">
        <f>+'Nómina mensual'!C11:E11</f>
        <v>SI</v>
      </c>
      <c r="L7" s="3" t="s">
        <v>134</v>
      </c>
    </row>
    <row r="8" spans="2:27">
      <c r="B8" s="7" t="s">
        <v>19</v>
      </c>
      <c r="C8" s="8" t="str">
        <f>'Nómina mensual'!C12:D12</f>
        <v>Vicedirección</v>
      </c>
    </row>
    <row r="10" spans="2:27" s="2" customFormat="1" ht="12.9" customHeight="1">
      <c r="B10" s="9"/>
      <c r="C10" s="2" t="str">
        <f>+E11</f>
        <v>Canarias</v>
      </c>
    </row>
    <row r="11" spans="2:27" s="2" customFormat="1" ht="35.25" customHeight="1">
      <c r="C11" s="10" t="str">
        <f>+C1</f>
        <v>590-Profesores Enseñanza Secundaria</v>
      </c>
      <c r="E11" s="11" t="s">
        <v>29</v>
      </c>
      <c r="F11" s="12" t="s">
        <v>120</v>
      </c>
      <c r="G11" s="12" t="s">
        <v>110</v>
      </c>
      <c r="H11" s="12" t="s">
        <v>118</v>
      </c>
      <c r="I11" s="12" t="s">
        <v>4</v>
      </c>
      <c r="J11" s="12" t="s">
        <v>112</v>
      </c>
      <c r="K11" s="12" t="s">
        <v>114</v>
      </c>
      <c r="L11" s="12" t="s">
        <v>116</v>
      </c>
      <c r="M11" s="12" t="s">
        <v>107</v>
      </c>
      <c r="N11" s="12" t="s">
        <v>105</v>
      </c>
      <c r="O11" s="2" t="s">
        <v>135</v>
      </c>
      <c r="P11" s="13" t="s">
        <v>136</v>
      </c>
      <c r="Q11" s="14" t="s">
        <v>137</v>
      </c>
      <c r="R11" s="14"/>
      <c r="S11" s="13"/>
      <c r="T11" s="13"/>
      <c r="U11" s="13"/>
      <c r="V11" s="13"/>
      <c r="W11" s="14" t="s">
        <v>138</v>
      </c>
      <c r="X11" s="13"/>
      <c r="Y11" s="13"/>
    </row>
    <row r="12" spans="2:27" s="2" customFormat="1" ht="12.9" customHeight="1">
      <c r="B12" s="15" t="s">
        <v>91</v>
      </c>
      <c r="C12" s="16" t="str">
        <f t="shared" ref="C12:C29" si="0">IF($C$11=$F$11,F12,IF($C$11=G$11,G12,IF($C$11=H$11,H12,IF($C$11=I$11,I12,IF($C$11=J$11,J12,IF($C$11=K$11,K12,IF($C$11=L$11,L12,IF($C$11=M$11,M12,N12))))))))</f>
        <v>A1</v>
      </c>
      <c r="E12" s="15" t="s">
        <v>91</v>
      </c>
      <c r="F12" s="17" t="s">
        <v>137</v>
      </c>
      <c r="G12" s="17" t="s">
        <v>137</v>
      </c>
      <c r="H12" s="17" t="s">
        <v>137</v>
      </c>
      <c r="I12" s="17" t="s">
        <v>138</v>
      </c>
      <c r="J12" s="17" t="s">
        <v>138</v>
      </c>
      <c r="K12" s="17" t="s">
        <v>138</v>
      </c>
      <c r="L12" s="17" t="s">
        <v>138</v>
      </c>
      <c r="M12" s="17" t="s">
        <v>138</v>
      </c>
      <c r="N12" s="17" t="s">
        <v>138</v>
      </c>
      <c r="R12" s="2" t="s">
        <v>20</v>
      </c>
      <c r="S12" s="2" t="s">
        <v>123</v>
      </c>
      <c r="T12" s="2" t="s">
        <v>126</v>
      </c>
      <c r="U12" s="2" t="s">
        <v>129</v>
      </c>
      <c r="V12" s="2" t="s">
        <v>130</v>
      </c>
      <c r="W12" s="2" t="s">
        <v>20</v>
      </c>
      <c r="X12" s="2" t="s">
        <v>123</v>
      </c>
      <c r="Y12" s="2" t="s">
        <v>126</v>
      </c>
      <c r="Z12" s="2" t="s">
        <v>129</v>
      </c>
      <c r="AA12" s="2" t="s">
        <v>130</v>
      </c>
    </row>
    <row r="13" spans="2:27" s="2" customFormat="1" ht="12.9" customHeight="1">
      <c r="B13" s="15">
        <f>+E13</f>
        <v>24</v>
      </c>
      <c r="C13" s="18">
        <f t="shared" si="0"/>
        <v>24</v>
      </c>
      <c r="E13" s="15">
        <f>+H13</f>
        <v>24</v>
      </c>
      <c r="F13" s="17">
        <v>21</v>
      </c>
      <c r="G13" s="17">
        <v>24</v>
      </c>
      <c r="H13" s="17">
        <v>24</v>
      </c>
      <c r="I13" s="17">
        <v>24</v>
      </c>
      <c r="J13" s="17">
        <v>24</v>
      </c>
      <c r="K13" s="17">
        <v>24</v>
      </c>
      <c r="L13" s="17">
        <v>24</v>
      </c>
      <c r="M13" s="17">
        <v>26</v>
      </c>
      <c r="N13" s="17">
        <v>26</v>
      </c>
      <c r="Q13" s="2" t="s">
        <v>124</v>
      </c>
      <c r="R13" s="2">
        <v>0</v>
      </c>
      <c r="S13" s="19">
        <v>552.34</v>
      </c>
      <c r="T13" s="19">
        <v>226.64</v>
      </c>
      <c r="U13" s="19">
        <f>T13</f>
        <v>226.64</v>
      </c>
      <c r="V13" s="19">
        <f>U13</f>
        <v>226.64</v>
      </c>
      <c r="W13" s="2">
        <v>0</v>
      </c>
      <c r="X13" s="19">
        <v>694.22</v>
      </c>
      <c r="Y13" s="19">
        <v>341.27</v>
      </c>
      <c r="Z13" s="19">
        <f>Y13</f>
        <v>341.27</v>
      </c>
      <c r="AA13" s="19">
        <f>Z13</f>
        <v>341.27</v>
      </c>
    </row>
    <row r="14" spans="2:27" s="2" customFormat="1" ht="12.9" customHeight="1">
      <c r="B14" s="20" t="s">
        <v>43</v>
      </c>
      <c r="C14" s="21">
        <f t="shared" si="0"/>
        <v>1387.24</v>
      </c>
      <c r="E14" s="22" t="s">
        <v>43</v>
      </c>
      <c r="F14" s="23">
        <f t="shared" ref="F14:N14" si="1">+F54</f>
        <v>1199.52</v>
      </c>
      <c r="G14" s="23">
        <f t="shared" si="1"/>
        <v>1199.52</v>
      </c>
      <c r="H14" s="23">
        <f t="shared" si="1"/>
        <v>1199.52</v>
      </c>
      <c r="I14" s="23">
        <f t="shared" si="1"/>
        <v>1387.24</v>
      </c>
      <c r="J14" s="23">
        <f t="shared" si="1"/>
        <v>1387.24</v>
      </c>
      <c r="K14" s="23">
        <f t="shared" si="1"/>
        <v>1387.24</v>
      </c>
      <c r="L14" s="23">
        <f t="shared" si="1"/>
        <v>1387.24</v>
      </c>
      <c r="M14" s="23">
        <f t="shared" si="1"/>
        <v>1387.24</v>
      </c>
      <c r="N14" s="23">
        <f t="shared" si="1"/>
        <v>1387.24</v>
      </c>
      <c r="Q14" s="2" t="s">
        <v>127</v>
      </c>
      <c r="R14" s="2">
        <v>0</v>
      </c>
      <c r="S14" s="19">
        <v>503.95</v>
      </c>
      <c r="T14" s="19">
        <v>217.21</v>
      </c>
      <c r="U14" s="19">
        <f t="shared" ref="U14:U15" si="2">T14</f>
        <v>217.21</v>
      </c>
      <c r="V14" s="19">
        <f>U14</f>
        <v>217.21</v>
      </c>
      <c r="W14" s="2">
        <v>0</v>
      </c>
      <c r="X14" s="19">
        <v>617.53</v>
      </c>
      <c r="Y14" s="19">
        <v>327.08999999999997</v>
      </c>
      <c r="Z14" s="19">
        <f t="shared" ref="Z14:Z16" si="3">Y14</f>
        <v>327.08999999999997</v>
      </c>
      <c r="AA14" s="19">
        <f t="shared" ref="AA14:AA16" si="4">Z14</f>
        <v>327.08999999999997</v>
      </c>
    </row>
    <row r="15" spans="2:27" s="2" customFormat="1" ht="12.9" customHeight="1">
      <c r="B15" s="20" t="s">
        <v>92</v>
      </c>
      <c r="C15" s="24">
        <f t="shared" si="0"/>
        <v>856.05</v>
      </c>
      <c r="E15" s="22" t="s">
        <v>92</v>
      </c>
      <c r="F15" s="25">
        <f>+F55</f>
        <v>874.83</v>
      </c>
      <c r="G15" s="25">
        <f t="shared" ref="G15:N15" si="5">+G55</f>
        <v>874.83</v>
      </c>
      <c r="H15" s="25">
        <f t="shared" si="5"/>
        <v>874.83</v>
      </c>
      <c r="I15" s="25">
        <f t="shared" si="5"/>
        <v>856.05</v>
      </c>
      <c r="J15" s="25">
        <f t="shared" si="5"/>
        <v>856.05</v>
      </c>
      <c r="K15" s="25">
        <f t="shared" si="5"/>
        <v>856.05</v>
      </c>
      <c r="L15" s="25">
        <f t="shared" si="5"/>
        <v>856.05</v>
      </c>
      <c r="M15" s="25">
        <f t="shared" si="5"/>
        <v>856.05</v>
      </c>
      <c r="N15" s="25">
        <f t="shared" si="5"/>
        <v>856.05</v>
      </c>
      <c r="Q15" s="2" t="s">
        <v>22</v>
      </c>
      <c r="R15" s="2">
        <v>0</v>
      </c>
      <c r="S15" s="19">
        <v>380.04</v>
      </c>
      <c r="T15" s="19">
        <v>203.02</v>
      </c>
      <c r="U15" s="19">
        <f t="shared" si="2"/>
        <v>203.02</v>
      </c>
      <c r="V15" s="19">
        <f>U15</f>
        <v>203.02</v>
      </c>
      <c r="W15" s="2">
        <v>0</v>
      </c>
      <c r="X15" s="19">
        <v>556.11</v>
      </c>
      <c r="Y15" s="19">
        <v>253.88</v>
      </c>
      <c r="Z15" s="19">
        <f t="shared" si="3"/>
        <v>253.88</v>
      </c>
      <c r="AA15" s="19">
        <f t="shared" si="4"/>
        <v>253.88</v>
      </c>
    </row>
    <row r="16" spans="2:27" s="2" customFormat="1" ht="12.9" customHeight="1">
      <c r="B16" s="20" t="s">
        <v>93</v>
      </c>
      <c r="C16" s="24">
        <f t="shared" si="0"/>
        <v>53.39</v>
      </c>
      <c r="E16" s="22" t="s">
        <v>93</v>
      </c>
      <c r="F16" s="23">
        <f>+F56</f>
        <v>43.54</v>
      </c>
      <c r="G16" s="23">
        <f t="shared" ref="G16:N16" si="6">+G56</f>
        <v>43.54</v>
      </c>
      <c r="H16" s="23">
        <f t="shared" si="6"/>
        <v>43.54</v>
      </c>
      <c r="I16" s="23">
        <f t="shared" si="6"/>
        <v>53.39</v>
      </c>
      <c r="J16" s="23">
        <f t="shared" si="6"/>
        <v>53.39</v>
      </c>
      <c r="K16" s="23">
        <f t="shared" si="6"/>
        <v>53.39</v>
      </c>
      <c r="L16" s="23">
        <f t="shared" si="6"/>
        <v>53.39</v>
      </c>
      <c r="M16" s="23">
        <f t="shared" si="6"/>
        <v>53.39</v>
      </c>
      <c r="N16" s="23">
        <f t="shared" si="6"/>
        <v>53.39</v>
      </c>
      <c r="Q16" s="2" t="s">
        <v>131</v>
      </c>
      <c r="R16" s="2">
        <v>0</v>
      </c>
      <c r="S16" s="19">
        <v>289.17</v>
      </c>
      <c r="T16" s="19"/>
      <c r="U16" s="19">
        <v>158.18</v>
      </c>
      <c r="V16" s="19">
        <f>U16</f>
        <v>158.18</v>
      </c>
      <c r="W16" s="2">
        <v>0</v>
      </c>
      <c r="X16" s="19">
        <v>506.52</v>
      </c>
      <c r="Y16" s="19">
        <v>203.13</v>
      </c>
      <c r="Z16" s="19">
        <f t="shared" si="3"/>
        <v>203.13</v>
      </c>
      <c r="AA16" s="19">
        <f t="shared" si="4"/>
        <v>203.13</v>
      </c>
    </row>
    <row r="17" spans="2:34" s="2" customFormat="1" ht="12.9" customHeight="1">
      <c r="B17" s="20" t="s">
        <v>95</v>
      </c>
      <c r="C17" s="24">
        <f t="shared" si="0"/>
        <v>32.96</v>
      </c>
      <c r="E17" s="22" t="s">
        <v>95</v>
      </c>
      <c r="F17" s="23">
        <f>+F57</f>
        <v>31.74</v>
      </c>
      <c r="G17" s="23">
        <f t="shared" ref="G17:N17" si="7">+G57</f>
        <v>31.74</v>
      </c>
      <c r="H17" s="23">
        <f t="shared" si="7"/>
        <v>31.74</v>
      </c>
      <c r="I17" s="23">
        <f t="shared" si="7"/>
        <v>32.96</v>
      </c>
      <c r="J17" s="23">
        <f t="shared" si="7"/>
        <v>32.96</v>
      </c>
      <c r="K17" s="23">
        <f t="shared" si="7"/>
        <v>32.96</v>
      </c>
      <c r="L17" s="23">
        <f t="shared" si="7"/>
        <v>32.96</v>
      </c>
      <c r="M17" s="23">
        <f t="shared" si="7"/>
        <v>32.96</v>
      </c>
      <c r="N17" s="23">
        <f t="shared" si="7"/>
        <v>32.96</v>
      </c>
      <c r="Q17" s="2" t="s">
        <v>133</v>
      </c>
      <c r="R17" s="2">
        <v>0</v>
      </c>
      <c r="S17" s="19">
        <v>195.96</v>
      </c>
      <c r="T17" s="26"/>
      <c r="U17" s="26"/>
      <c r="V17" s="19">
        <v>106.25</v>
      </c>
      <c r="W17" s="2">
        <v>0</v>
      </c>
      <c r="X17" s="26"/>
      <c r="Y17" s="26"/>
      <c r="Z17" s="19"/>
      <c r="AA17" s="26"/>
    </row>
    <row r="18" spans="2:34" s="2" customFormat="1" ht="12.9" customHeight="1">
      <c r="B18" s="20" t="s">
        <v>46</v>
      </c>
      <c r="C18" s="24">
        <f t="shared" si="0"/>
        <v>728.32</v>
      </c>
      <c r="E18" s="22" t="s">
        <v>46</v>
      </c>
      <c r="F18" s="27">
        <v>591.42999999999995</v>
      </c>
      <c r="G18" s="27">
        <v>728.32</v>
      </c>
      <c r="H18" s="23">
        <f>+G18</f>
        <v>728.32</v>
      </c>
      <c r="I18" s="23">
        <f>+H18</f>
        <v>728.32</v>
      </c>
      <c r="J18" s="23">
        <f>+I18</f>
        <v>728.32</v>
      </c>
      <c r="K18" s="23">
        <f>+J18</f>
        <v>728.32</v>
      </c>
      <c r="L18" s="23">
        <f>+K18</f>
        <v>728.32</v>
      </c>
      <c r="M18" s="27">
        <v>872.33</v>
      </c>
      <c r="N18" s="23">
        <f>+M18</f>
        <v>872.33</v>
      </c>
      <c r="Q18" s="2" t="s">
        <v>134</v>
      </c>
      <c r="R18" s="2">
        <v>0</v>
      </c>
      <c r="S18" s="19">
        <v>122.79</v>
      </c>
      <c r="T18" s="26"/>
      <c r="U18" s="26"/>
      <c r="V18" s="26"/>
      <c r="W18" s="2">
        <v>0</v>
      </c>
      <c r="X18" s="26"/>
      <c r="Y18" s="26"/>
      <c r="Z18" s="26"/>
      <c r="AA18" s="26"/>
    </row>
    <row r="19" spans="2:34" s="2" customFormat="1" ht="12.9" customHeight="1">
      <c r="B19" s="20" t="s">
        <v>48</v>
      </c>
      <c r="C19" s="24">
        <f t="shared" si="0"/>
        <v>757.35</v>
      </c>
      <c r="E19" s="22" t="s">
        <v>48</v>
      </c>
      <c r="F19" s="27">
        <v>806.35</v>
      </c>
      <c r="G19" s="27">
        <v>759.63</v>
      </c>
      <c r="H19" s="23">
        <f>+G19</f>
        <v>759.63</v>
      </c>
      <c r="I19" s="27">
        <v>757.35</v>
      </c>
      <c r="J19" s="23">
        <f>+I19</f>
        <v>757.35</v>
      </c>
      <c r="K19" s="23">
        <f>+J19</f>
        <v>757.35</v>
      </c>
      <c r="L19" s="23">
        <f>+K19</f>
        <v>757.35</v>
      </c>
      <c r="M19" s="27">
        <v>816.85</v>
      </c>
      <c r="N19" s="28">
        <v>1515.22</v>
      </c>
    </row>
    <row r="20" spans="2:34" s="2" customFormat="1" ht="12.9" customHeight="1">
      <c r="B20" s="20" t="s">
        <v>97</v>
      </c>
      <c r="C20" s="24">
        <f t="shared" si="0"/>
        <v>590.73</v>
      </c>
      <c r="E20" s="29" t="s">
        <v>139</v>
      </c>
      <c r="F20" s="27">
        <v>628.95000000000005</v>
      </c>
      <c r="G20" s="27">
        <v>592.51</v>
      </c>
      <c r="H20" s="23">
        <f>+G20</f>
        <v>592.51</v>
      </c>
      <c r="I20" s="27">
        <v>590.73</v>
      </c>
      <c r="J20" s="23">
        <f>+I20</f>
        <v>590.73</v>
      </c>
      <c r="K20" s="23">
        <f t="shared" ref="K20:N20" si="8">+J20</f>
        <v>590.73</v>
      </c>
      <c r="L20" s="23">
        <f t="shared" si="8"/>
        <v>590.73</v>
      </c>
      <c r="M20" s="27">
        <v>637.15</v>
      </c>
      <c r="N20" s="23">
        <f t="shared" si="8"/>
        <v>637.15</v>
      </c>
    </row>
    <row r="21" spans="2:34" s="2" customFormat="1" ht="12.9" customHeight="1">
      <c r="B21" s="20" t="s">
        <v>98</v>
      </c>
      <c r="C21" s="24">
        <f t="shared" si="0"/>
        <v>0</v>
      </c>
      <c r="E21" s="29" t="s">
        <v>98</v>
      </c>
      <c r="F21" s="23"/>
      <c r="G21" s="23"/>
      <c r="H21" s="23"/>
      <c r="I21" s="23"/>
      <c r="J21" s="23"/>
      <c r="K21" s="23"/>
      <c r="L21" s="23"/>
      <c r="M21" s="23"/>
      <c r="N21" s="23"/>
      <c r="Z21" s="2" t="s">
        <v>140</v>
      </c>
    </row>
    <row r="22" spans="2:34" s="2" customFormat="1" ht="12.9" customHeight="1">
      <c r="B22" s="20" t="s">
        <v>52</v>
      </c>
      <c r="C22" s="24">
        <f t="shared" si="0"/>
        <v>55</v>
      </c>
      <c r="E22" s="29" t="s">
        <v>52</v>
      </c>
      <c r="F22" s="27">
        <v>55</v>
      </c>
      <c r="G22" s="23">
        <f>+F22</f>
        <v>55</v>
      </c>
      <c r="H22" s="23">
        <f t="shared" ref="H22:N22" si="9">+G22</f>
        <v>55</v>
      </c>
      <c r="I22" s="23">
        <f t="shared" si="9"/>
        <v>55</v>
      </c>
      <c r="J22" s="23">
        <f t="shared" si="9"/>
        <v>55</v>
      </c>
      <c r="K22" s="23">
        <f t="shared" si="9"/>
        <v>55</v>
      </c>
      <c r="L22" s="23">
        <f t="shared" si="9"/>
        <v>55</v>
      </c>
      <c r="M22" s="23">
        <f t="shared" si="9"/>
        <v>55</v>
      </c>
      <c r="N22" s="23">
        <f t="shared" si="9"/>
        <v>55</v>
      </c>
      <c r="Z22" s="19">
        <v>42.9</v>
      </c>
      <c r="AA22" s="2">
        <f>+Z22</f>
        <v>42.9</v>
      </c>
      <c r="AB22" s="2">
        <f t="shared" ref="AB22:AH22" si="10">+AA22</f>
        <v>42.9</v>
      </c>
      <c r="AC22" s="2">
        <f t="shared" si="10"/>
        <v>42.9</v>
      </c>
      <c r="AD22" s="2">
        <f t="shared" si="10"/>
        <v>42.9</v>
      </c>
      <c r="AE22" s="2">
        <f t="shared" si="10"/>
        <v>42.9</v>
      </c>
      <c r="AF22" s="2">
        <f t="shared" si="10"/>
        <v>42.9</v>
      </c>
      <c r="AG22" s="2">
        <f t="shared" si="10"/>
        <v>42.9</v>
      </c>
      <c r="AH22" s="2">
        <f t="shared" si="10"/>
        <v>42.9</v>
      </c>
    </row>
    <row r="23" spans="2:34" s="2" customFormat="1" ht="12.9" customHeight="1">
      <c r="B23" s="20" t="s">
        <v>54</v>
      </c>
      <c r="C23" s="24">
        <f t="shared" si="0"/>
        <v>64</v>
      </c>
      <c r="E23" s="29" t="s">
        <v>54</v>
      </c>
      <c r="F23" s="27">
        <v>64</v>
      </c>
      <c r="G23" s="23">
        <f t="shared" ref="G23:N23" si="11">+F23</f>
        <v>64</v>
      </c>
      <c r="H23" s="23">
        <f t="shared" si="11"/>
        <v>64</v>
      </c>
      <c r="I23" s="23">
        <f t="shared" si="11"/>
        <v>64</v>
      </c>
      <c r="J23" s="23">
        <f t="shared" si="11"/>
        <v>64</v>
      </c>
      <c r="K23" s="23">
        <f t="shared" si="11"/>
        <v>64</v>
      </c>
      <c r="L23" s="23">
        <f t="shared" si="11"/>
        <v>64</v>
      </c>
      <c r="M23" s="23">
        <f t="shared" si="11"/>
        <v>64</v>
      </c>
      <c r="N23" s="23">
        <f t="shared" si="11"/>
        <v>64</v>
      </c>
      <c r="Z23" s="19">
        <v>49.92</v>
      </c>
      <c r="AA23" s="2">
        <f t="shared" ref="AA23:AH26" si="12">+Z23</f>
        <v>49.92</v>
      </c>
      <c r="AB23" s="2">
        <f t="shared" si="12"/>
        <v>49.92</v>
      </c>
      <c r="AC23" s="2">
        <f t="shared" si="12"/>
        <v>49.92</v>
      </c>
      <c r="AD23" s="2">
        <f t="shared" si="12"/>
        <v>49.92</v>
      </c>
      <c r="AE23" s="2">
        <f t="shared" si="12"/>
        <v>49.92</v>
      </c>
      <c r="AF23" s="2">
        <f t="shared" si="12"/>
        <v>49.92</v>
      </c>
      <c r="AG23" s="2">
        <f t="shared" si="12"/>
        <v>49.92</v>
      </c>
      <c r="AH23" s="2">
        <f t="shared" si="12"/>
        <v>49.92</v>
      </c>
    </row>
    <row r="24" spans="2:34" s="2" customFormat="1" ht="12.9" customHeight="1">
      <c r="B24" s="20" t="s">
        <v>56</v>
      </c>
      <c r="C24" s="24">
        <f t="shared" si="0"/>
        <v>120</v>
      </c>
      <c r="E24" s="29" t="s">
        <v>56</v>
      </c>
      <c r="F24" s="27">
        <v>120</v>
      </c>
      <c r="G24" s="23">
        <f t="shared" ref="G24:N24" si="13">+F24</f>
        <v>120</v>
      </c>
      <c r="H24" s="23">
        <f t="shared" si="13"/>
        <v>120</v>
      </c>
      <c r="I24" s="23">
        <f t="shared" si="13"/>
        <v>120</v>
      </c>
      <c r="J24" s="23">
        <f t="shared" si="13"/>
        <v>120</v>
      </c>
      <c r="K24" s="23">
        <f t="shared" si="13"/>
        <v>120</v>
      </c>
      <c r="L24" s="23">
        <f t="shared" si="13"/>
        <v>120</v>
      </c>
      <c r="M24" s="23">
        <f t="shared" si="13"/>
        <v>120</v>
      </c>
      <c r="N24" s="23">
        <f t="shared" si="13"/>
        <v>120</v>
      </c>
      <c r="Z24" s="19">
        <v>93.6</v>
      </c>
      <c r="AA24" s="2">
        <f t="shared" si="12"/>
        <v>93.6</v>
      </c>
      <c r="AB24" s="2">
        <f t="shared" si="12"/>
        <v>93.6</v>
      </c>
      <c r="AC24" s="2">
        <f t="shared" si="12"/>
        <v>93.6</v>
      </c>
      <c r="AD24" s="2">
        <f t="shared" si="12"/>
        <v>93.6</v>
      </c>
      <c r="AE24" s="2">
        <f t="shared" si="12"/>
        <v>93.6</v>
      </c>
      <c r="AF24" s="2">
        <f t="shared" si="12"/>
        <v>93.6</v>
      </c>
      <c r="AG24" s="2">
        <f t="shared" si="12"/>
        <v>93.6</v>
      </c>
      <c r="AH24" s="2">
        <f t="shared" si="12"/>
        <v>93.6</v>
      </c>
    </row>
    <row r="25" spans="2:34" s="2" customFormat="1" ht="12.9" customHeight="1">
      <c r="B25" s="20" t="s">
        <v>58</v>
      </c>
      <c r="C25" s="24">
        <f t="shared" si="0"/>
        <v>180</v>
      </c>
      <c r="E25" s="29" t="s">
        <v>58</v>
      </c>
      <c r="F25" s="27">
        <v>180</v>
      </c>
      <c r="G25" s="23">
        <f t="shared" ref="G25:N25" si="14">+F25</f>
        <v>180</v>
      </c>
      <c r="H25" s="23">
        <f t="shared" si="14"/>
        <v>180</v>
      </c>
      <c r="I25" s="23">
        <f t="shared" si="14"/>
        <v>180</v>
      </c>
      <c r="J25" s="23">
        <f t="shared" si="14"/>
        <v>180</v>
      </c>
      <c r="K25" s="23">
        <f t="shared" si="14"/>
        <v>180</v>
      </c>
      <c r="L25" s="23">
        <f t="shared" si="14"/>
        <v>180</v>
      </c>
      <c r="M25" s="23">
        <f t="shared" si="14"/>
        <v>180</v>
      </c>
      <c r="N25" s="23">
        <f t="shared" si="14"/>
        <v>180</v>
      </c>
      <c r="Z25" s="19">
        <v>140.4</v>
      </c>
      <c r="AA25" s="2">
        <f t="shared" si="12"/>
        <v>140.4</v>
      </c>
      <c r="AB25" s="2">
        <f t="shared" si="12"/>
        <v>140.4</v>
      </c>
      <c r="AC25" s="2">
        <f t="shared" si="12"/>
        <v>140.4</v>
      </c>
      <c r="AD25" s="2">
        <f t="shared" si="12"/>
        <v>140.4</v>
      </c>
      <c r="AE25" s="2">
        <f t="shared" si="12"/>
        <v>140.4</v>
      </c>
      <c r="AF25" s="2">
        <f t="shared" si="12"/>
        <v>140.4</v>
      </c>
      <c r="AG25" s="2">
        <f t="shared" si="12"/>
        <v>140.4</v>
      </c>
      <c r="AH25" s="2">
        <f t="shared" si="12"/>
        <v>140.4</v>
      </c>
    </row>
    <row r="26" spans="2:34" s="2" customFormat="1" ht="12.9" customHeight="1">
      <c r="B26" s="20" t="s">
        <v>60</v>
      </c>
      <c r="C26" s="24">
        <f t="shared" si="0"/>
        <v>70</v>
      </c>
      <c r="E26" s="29" t="s">
        <v>60</v>
      </c>
      <c r="F26" s="27">
        <v>70</v>
      </c>
      <c r="G26" s="23">
        <f t="shared" ref="G26:N27" si="15">+F26</f>
        <v>70</v>
      </c>
      <c r="H26" s="23">
        <f t="shared" si="15"/>
        <v>70</v>
      </c>
      <c r="I26" s="23">
        <f t="shared" si="15"/>
        <v>70</v>
      </c>
      <c r="J26" s="23">
        <f t="shared" si="15"/>
        <v>70</v>
      </c>
      <c r="K26" s="23">
        <f t="shared" si="15"/>
        <v>70</v>
      </c>
      <c r="L26" s="23">
        <f t="shared" si="15"/>
        <v>70</v>
      </c>
      <c r="M26" s="23">
        <f t="shared" si="15"/>
        <v>70</v>
      </c>
      <c r="N26" s="23">
        <f t="shared" si="15"/>
        <v>70</v>
      </c>
      <c r="Z26" s="19">
        <v>54.6</v>
      </c>
      <c r="AA26" s="2">
        <f t="shared" si="12"/>
        <v>54.6</v>
      </c>
      <c r="AB26" s="2">
        <f t="shared" si="12"/>
        <v>54.6</v>
      </c>
      <c r="AC26" s="2">
        <f t="shared" si="12"/>
        <v>54.6</v>
      </c>
      <c r="AD26" s="2">
        <f t="shared" si="12"/>
        <v>54.6</v>
      </c>
      <c r="AE26" s="2">
        <f t="shared" si="12"/>
        <v>54.6</v>
      </c>
      <c r="AF26" s="2">
        <f t="shared" si="12"/>
        <v>54.6</v>
      </c>
      <c r="AG26" s="2">
        <f t="shared" si="12"/>
        <v>54.6</v>
      </c>
      <c r="AH26" s="2">
        <f t="shared" si="12"/>
        <v>54.6</v>
      </c>
    </row>
    <row r="27" spans="2:34" s="2" customFormat="1" ht="12.9" customHeight="1">
      <c r="B27" s="20" t="s">
        <v>103</v>
      </c>
      <c r="C27" s="24">
        <f t="shared" si="0"/>
        <v>35</v>
      </c>
      <c r="E27" s="29" t="s">
        <v>103</v>
      </c>
      <c r="F27" s="27">
        <v>35</v>
      </c>
      <c r="G27" s="23">
        <f t="shared" si="15"/>
        <v>35</v>
      </c>
      <c r="H27" s="23">
        <f t="shared" si="15"/>
        <v>35</v>
      </c>
      <c r="I27" s="23">
        <f t="shared" si="15"/>
        <v>35</v>
      </c>
      <c r="J27" s="23">
        <f t="shared" si="15"/>
        <v>35</v>
      </c>
      <c r="K27" s="23">
        <f t="shared" si="15"/>
        <v>35</v>
      </c>
      <c r="L27" s="23">
        <f t="shared" si="15"/>
        <v>35</v>
      </c>
      <c r="M27" s="23">
        <f t="shared" si="15"/>
        <v>35</v>
      </c>
      <c r="N27" s="23"/>
    </row>
    <row r="28" spans="2:34" s="2" customFormat="1" ht="12.9" customHeight="1">
      <c r="B28" s="20" t="s">
        <v>19</v>
      </c>
      <c r="C28" s="24">
        <f t="shared" si="0"/>
        <v>253.88</v>
      </c>
      <c r="E28" s="29" t="s">
        <v>19</v>
      </c>
      <c r="F28" s="30">
        <f>IF($C$1=F11,'Nómina mensual'!$G$29,0)</f>
        <v>0</v>
      </c>
      <c r="G28" s="30">
        <f>IF($C$1=G11,'Nómina mensual'!$G$29,0)</f>
        <v>0</v>
      </c>
      <c r="H28" s="30">
        <f>IF($C$1=H11,'Nómina mensual'!$G$29,0)</f>
        <v>0</v>
      </c>
      <c r="I28" s="30">
        <f>IF($C$1=I11,'Nómina mensual'!$G$29,0)</f>
        <v>253.88</v>
      </c>
      <c r="J28" s="30">
        <f>IF($C$1=J11,'Nómina mensual'!$G$29,0)</f>
        <v>0</v>
      </c>
      <c r="K28" s="30">
        <f>IF($C$1=K11,'Nómina mensual'!$G$29,0)</f>
        <v>0</v>
      </c>
      <c r="L28" s="30">
        <f>IF($C$1=L11,'Nómina mensual'!$G$29,0)</f>
        <v>0</v>
      </c>
      <c r="M28" s="30">
        <f>IF($C$1=M11,'Nómina mensual'!$G$29,0)</f>
        <v>0</v>
      </c>
      <c r="N28" s="23"/>
    </row>
    <row r="29" spans="2:34" s="2" customFormat="1" ht="12.9" customHeight="1">
      <c r="B29" s="20" t="s">
        <v>104</v>
      </c>
      <c r="C29" s="24">
        <f t="shared" si="0"/>
        <v>160.59</v>
      </c>
      <c r="E29" s="31" t="s">
        <v>104</v>
      </c>
      <c r="F29" s="27">
        <v>144.55000000000001</v>
      </c>
      <c r="G29" s="23">
        <f t="shared" ref="G29:H31" si="16">+F29</f>
        <v>144.55000000000001</v>
      </c>
      <c r="H29" s="23">
        <f t="shared" si="16"/>
        <v>144.55000000000001</v>
      </c>
      <c r="I29" s="27">
        <v>160.59</v>
      </c>
      <c r="J29" s="23">
        <f>+I29</f>
        <v>160.59</v>
      </c>
      <c r="K29" s="23">
        <f t="shared" ref="K29:L31" si="17">+J29</f>
        <v>160.59</v>
      </c>
      <c r="L29" s="23">
        <f t="shared" si="17"/>
        <v>160.59</v>
      </c>
      <c r="M29" s="27">
        <v>180.67</v>
      </c>
      <c r="N29" s="32">
        <v>178.29</v>
      </c>
    </row>
    <row r="30" spans="2:34" s="2" customFormat="1" ht="12.9" customHeight="1">
      <c r="B30" s="20" t="s">
        <v>106</v>
      </c>
      <c r="C30" s="24">
        <f t="shared" ref="C30:C36" si="18">IF($C$11=$F$11,F30,IF($C$11=G$11,G30,IF($C$11=H$11,H30,IF($C$11=I$11,I30,IF($C$11=J$11,J30,IF($C$11=K$11,K30,IF($C$11=L$11,L30,IF($C$11=M$11,M30,N30))))))))</f>
        <v>534.9</v>
      </c>
      <c r="E30" s="31" t="s">
        <v>106</v>
      </c>
      <c r="F30" s="27">
        <v>481.43</v>
      </c>
      <c r="G30" s="23">
        <f t="shared" si="16"/>
        <v>481.43</v>
      </c>
      <c r="H30" s="23">
        <f t="shared" si="16"/>
        <v>481.43</v>
      </c>
      <c r="I30" s="27">
        <v>534.9</v>
      </c>
      <c r="J30" s="23">
        <f>+I30</f>
        <v>534.9</v>
      </c>
      <c r="K30" s="23">
        <f t="shared" si="17"/>
        <v>534.9</v>
      </c>
      <c r="L30" s="23">
        <f t="shared" si="17"/>
        <v>534.9</v>
      </c>
      <c r="M30" s="27">
        <v>601.77</v>
      </c>
      <c r="N30" s="32">
        <v>594.05999999999995</v>
      </c>
    </row>
    <row r="31" spans="2:34" s="2" customFormat="1" ht="12.9" customHeight="1">
      <c r="B31" s="20" t="s">
        <v>108</v>
      </c>
      <c r="C31" s="24">
        <f t="shared" si="18"/>
        <v>37.630000000000003</v>
      </c>
      <c r="E31" s="31" t="s">
        <v>108</v>
      </c>
      <c r="F31" s="27">
        <v>33.840000000000003</v>
      </c>
      <c r="G31" s="23">
        <f t="shared" si="16"/>
        <v>33.840000000000003</v>
      </c>
      <c r="H31" s="23">
        <f t="shared" si="16"/>
        <v>33.840000000000003</v>
      </c>
      <c r="I31" s="27">
        <v>37.630000000000003</v>
      </c>
      <c r="J31" s="23">
        <f>+I31</f>
        <v>37.630000000000003</v>
      </c>
      <c r="K31" s="23">
        <f t="shared" si="17"/>
        <v>37.630000000000003</v>
      </c>
      <c r="L31" s="23">
        <f t="shared" si="17"/>
        <v>37.630000000000003</v>
      </c>
      <c r="M31" s="27">
        <v>42.25</v>
      </c>
      <c r="N31" s="32">
        <v>90.28</v>
      </c>
    </row>
    <row r="32" spans="2:34" s="2" customFormat="1" ht="12.9" customHeight="1">
      <c r="B32" s="20" t="s">
        <v>109</v>
      </c>
      <c r="C32" s="24">
        <f t="shared" si="18"/>
        <v>0</v>
      </c>
      <c r="E32" s="33" t="s">
        <v>109</v>
      </c>
      <c r="F32" s="27">
        <v>70.34</v>
      </c>
      <c r="G32" s="23"/>
      <c r="H32" s="23"/>
      <c r="I32" s="23"/>
      <c r="J32" s="23"/>
      <c r="K32" s="23"/>
      <c r="L32" s="23"/>
      <c r="M32" s="23"/>
      <c r="N32" s="23"/>
    </row>
    <row r="33" spans="2:24" s="2" customFormat="1" ht="12.9" customHeight="1">
      <c r="B33" s="20" t="s">
        <v>141</v>
      </c>
      <c r="C33" s="24">
        <f t="shared" si="18"/>
        <v>0</v>
      </c>
      <c r="E33" s="33" t="s">
        <v>142</v>
      </c>
      <c r="F33" s="27">
        <v>68.31</v>
      </c>
      <c r="G33" s="23"/>
      <c r="H33" s="23"/>
      <c r="I33" s="23"/>
      <c r="J33" s="23"/>
      <c r="K33" s="23"/>
      <c r="L33" s="23"/>
      <c r="M33" s="23"/>
      <c r="N33" s="23"/>
    </row>
    <row r="34" spans="2:24" s="2" customFormat="1" ht="12.9" customHeight="1">
      <c r="B34" s="20" t="s">
        <v>113</v>
      </c>
      <c r="C34" s="24">
        <f t="shared" si="18"/>
        <v>0</v>
      </c>
      <c r="E34" s="34" t="s">
        <v>113</v>
      </c>
      <c r="F34" s="23"/>
      <c r="G34" s="23"/>
      <c r="H34" s="23"/>
      <c r="I34" s="23"/>
      <c r="J34" s="23"/>
      <c r="K34" s="23"/>
      <c r="L34" s="23"/>
      <c r="M34" s="23"/>
      <c r="N34" s="23"/>
    </row>
    <row r="35" spans="2:24" s="2" customFormat="1" ht="12.9" customHeight="1">
      <c r="B35" s="20" t="s">
        <v>115</v>
      </c>
      <c r="C35" s="24">
        <f t="shared" si="18"/>
        <v>0</v>
      </c>
      <c r="E35" s="34" t="s">
        <v>115</v>
      </c>
      <c r="F35" s="23"/>
      <c r="G35" s="23"/>
      <c r="H35" s="23"/>
      <c r="I35" s="23"/>
      <c r="J35" s="23"/>
      <c r="K35" s="23"/>
      <c r="L35" s="23"/>
      <c r="M35" s="23"/>
      <c r="N35" s="23"/>
      <c r="P35" s="242"/>
      <c r="Q35" s="243"/>
      <c r="R35" s="243"/>
      <c r="S35" s="243"/>
      <c r="T35" s="243"/>
      <c r="U35" s="242"/>
      <c r="V35" s="243"/>
      <c r="W35" s="243"/>
      <c r="X35" s="243"/>
    </row>
    <row r="36" spans="2:24" s="2" customFormat="1" ht="12.9" customHeight="1">
      <c r="B36" s="25" t="s">
        <v>117</v>
      </c>
      <c r="C36" s="24">
        <f t="shared" si="18"/>
        <v>0</v>
      </c>
      <c r="E36" s="35" t="s">
        <v>117</v>
      </c>
      <c r="F36" s="23"/>
      <c r="G36" s="23"/>
      <c r="H36" s="23"/>
      <c r="I36" s="23"/>
      <c r="J36" s="23"/>
      <c r="K36" s="23"/>
      <c r="L36" s="23"/>
      <c r="M36" s="23"/>
      <c r="N36" s="23"/>
      <c r="P36" s="36"/>
      <c r="Q36" s="36"/>
      <c r="R36" s="36"/>
      <c r="S36" s="36"/>
      <c r="T36" s="36"/>
      <c r="U36" s="36"/>
      <c r="V36" s="36"/>
      <c r="W36" s="36"/>
      <c r="X36" s="36"/>
    </row>
    <row r="37" spans="2:24" s="2" customFormat="1" ht="12.9" customHeight="1">
      <c r="B37" s="25"/>
      <c r="C37" s="24"/>
      <c r="E37" s="37" t="s">
        <v>123</v>
      </c>
      <c r="F37" s="23"/>
      <c r="G37" s="23"/>
      <c r="H37" s="23"/>
      <c r="I37" s="23"/>
      <c r="J37" s="23"/>
      <c r="K37" s="23"/>
      <c r="L37" s="23"/>
      <c r="M37" s="23"/>
      <c r="N37" s="23"/>
      <c r="P37" s="38"/>
      <c r="Q37" s="38"/>
      <c r="R37" s="38"/>
      <c r="S37" s="38"/>
      <c r="T37" s="38"/>
      <c r="U37" s="38"/>
      <c r="V37" s="38"/>
      <c r="W37" s="38"/>
      <c r="X37" s="38"/>
    </row>
    <row r="38" spans="2:24" s="2" customFormat="1" ht="12.9" customHeight="1">
      <c r="B38" s="25"/>
      <c r="C38" s="24"/>
      <c r="E38" s="37" t="s">
        <v>126</v>
      </c>
      <c r="F38" s="23"/>
      <c r="G38" s="23"/>
      <c r="H38" s="23"/>
      <c r="I38" s="23"/>
      <c r="J38" s="23"/>
      <c r="K38" s="23"/>
      <c r="L38" s="23"/>
      <c r="M38" s="23"/>
      <c r="N38" s="23"/>
      <c r="P38" s="38"/>
      <c r="Q38" s="38"/>
      <c r="R38" s="38"/>
      <c r="S38" s="38"/>
      <c r="T38" s="38"/>
      <c r="U38" s="38"/>
      <c r="V38" s="38"/>
      <c r="W38" s="38"/>
      <c r="X38" s="38"/>
    </row>
    <row r="39" spans="2:24" s="2" customFormat="1" ht="12.9" customHeight="1">
      <c r="B39" s="25"/>
      <c r="C39" s="24"/>
      <c r="E39" s="37" t="s">
        <v>129</v>
      </c>
      <c r="F39" s="23"/>
      <c r="G39" s="23"/>
      <c r="H39" s="23"/>
      <c r="I39" s="23"/>
      <c r="J39" s="23"/>
      <c r="K39" s="23"/>
      <c r="L39" s="23"/>
      <c r="M39" s="23"/>
      <c r="N39" s="23"/>
      <c r="P39" s="38"/>
      <c r="Q39" s="38"/>
      <c r="R39" s="38"/>
      <c r="S39" s="38"/>
      <c r="T39" s="38"/>
      <c r="U39" s="38"/>
      <c r="V39" s="38"/>
      <c r="W39" s="38"/>
      <c r="X39" s="38"/>
    </row>
    <row r="40" spans="2:24" s="2" customFormat="1" ht="12.9" customHeight="1">
      <c r="B40" s="25"/>
      <c r="C40" s="24"/>
      <c r="E40" s="37" t="s">
        <v>130</v>
      </c>
      <c r="F40" s="23"/>
      <c r="G40" s="23"/>
      <c r="H40" s="23"/>
      <c r="I40" s="23"/>
      <c r="J40" s="23"/>
      <c r="K40" s="23"/>
      <c r="L40" s="23"/>
      <c r="M40" s="23"/>
      <c r="N40" s="23"/>
      <c r="P40" s="38"/>
      <c r="Q40" s="38"/>
      <c r="R40" s="38"/>
      <c r="S40" s="38"/>
      <c r="T40" s="38"/>
      <c r="U40" s="38"/>
      <c r="V40" s="38"/>
      <c r="W40" s="38"/>
      <c r="X40" s="38"/>
    </row>
    <row r="41" spans="2:24" s="2" customFormat="1" ht="12.9" customHeight="1">
      <c r="B41" s="25" t="s">
        <v>119</v>
      </c>
      <c r="C41" s="24">
        <f>IF($C$11=$F$11,F41,IF($C$11=G$11,G41,IF($C$11=H$11,H41,IF($C$11=I$11,I41,IF($C$11=J$11,J41,IF($C$11=K$11,K41,IF($C$11=L$11,L41,IF($C$11=M$11,M41,N41))))))))</f>
        <v>-51.68</v>
      </c>
      <c r="E41" s="39" t="s">
        <v>119</v>
      </c>
      <c r="F41" s="40">
        <f t="shared" ref="F41:H42" si="19">+F77</f>
        <v>-40.68</v>
      </c>
      <c r="G41" s="40">
        <f t="shared" si="19"/>
        <v>-40.68</v>
      </c>
      <c r="H41" s="40">
        <f t="shared" si="19"/>
        <v>-40.68</v>
      </c>
      <c r="I41" s="40">
        <f t="shared" ref="I41:N41" si="20">+I77</f>
        <v>-51.68</v>
      </c>
      <c r="J41" s="40">
        <f t="shared" si="20"/>
        <v>-51.68</v>
      </c>
      <c r="K41" s="40">
        <f t="shared" si="20"/>
        <v>-51.68</v>
      </c>
      <c r="L41" s="40">
        <f t="shared" si="20"/>
        <v>-51.68</v>
      </c>
      <c r="M41" s="40">
        <f t="shared" si="20"/>
        <v>-51.68</v>
      </c>
      <c r="N41" s="40">
        <f t="shared" si="20"/>
        <v>-51.68</v>
      </c>
    </row>
    <row r="42" spans="2:24" s="2" customFormat="1" ht="12.9" customHeight="1">
      <c r="B42" s="25" t="s">
        <v>121</v>
      </c>
      <c r="C42" s="24">
        <f>IF($C$11=$F$11,F42,IF($C$11=G$11,G42,IF($C$11=H$11,H42,IF($C$11=I$11,I42,IF($C$11=J$11,J42,IF($C$11=K$11,K42,IF($C$11=L$11,L42,IF($C$11=M$11,M42,N42))))))))</f>
        <v>118.04</v>
      </c>
      <c r="E42" s="39" t="s">
        <v>121</v>
      </c>
      <c r="F42" s="40">
        <f t="shared" si="19"/>
        <v>-92.9</v>
      </c>
      <c r="G42" s="40">
        <f t="shared" si="19"/>
        <v>-92.9</v>
      </c>
      <c r="H42" s="40">
        <f t="shared" si="19"/>
        <v>-92.9</v>
      </c>
      <c r="I42" s="40">
        <f t="shared" ref="I42:N42" si="21">+I78</f>
        <v>118.04</v>
      </c>
      <c r="J42" s="40">
        <f t="shared" si="21"/>
        <v>118.04</v>
      </c>
      <c r="K42" s="40">
        <f t="shared" si="21"/>
        <v>118.04</v>
      </c>
      <c r="L42" s="40">
        <f t="shared" si="21"/>
        <v>118.04</v>
      </c>
      <c r="M42" s="40">
        <f t="shared" si="21"/>
        <v>118.04</v>
      </c>
      <c r="N42" s="40">
        <f t="shared" si="21"/>
        <v>118.04</v>
      </c>
    </row>
    <row r="43" spans="2:24">
      <c r="B43" s="41" t="s">
        <v>80</v>
      </c>
      <c r="C43" s="24">
        <f>IF($C$11=$F$11,F43,IF($C$11=G$11,G43,IF($C$11=H$11,H43,IF($C$11=I$11,I43,IF($C$11=J$11,J43,IF($C$11=K$11,K43,IF($C$11=L$11,L43,IF($C$11=M$11,M43,N43))))))))</f>
        <v>50376.399999999994</v>
      </c>
      <c r="E43" s="42" t="s">
        <v>80</v>
      </c>
      <c r="F43" s="3">
        <f>((+F14+F18+F19)*12)+(F16*INT($C$3/3)*12)+((F15+F18)*2)+((F20)*2)+(F17*INT($C$3/3)*2)+(F28*14)+(IF($C$6="si",(F30*12)+(F31*INT($C$3/3)*12),F29*12))+(IF($C$4="si",F32,0))+(((IF(INT($C$3/3)&lt;6,F21,0))+(IF(AND(INT($C$3/6)&gt;0,INT($C$3/6)&lt;2),F22,0))+(IF(AND(INT($C$3/6)&gt;1,INT($C$3/6)&lt;3),F22+F23,0))+(IF(AND(INT($C$3/6)&gt;2,INT($C$3/6)&lt;4),F22+F23+F24,0))+(IF(AND(INT($C$3/6)&gt;3,INT($C$3/6)&lt;5),F22+F23+F24+F25,0))+(IF(INT($C$3/6)&gt;4,F22+F23+F24+F25+F26,0)))*12)+(IF($C$7="si",F27*12,0))+(((IF(INT($C$3/3)&lt;6,F21,0))+(IF(AND(INT($C$3/6)&gt;0,INT($C$3/6)&lt;2),Z22,0))+(IF(AND(INT($C$3/6)&gt;1,INT($C$3/6)&lt;3),Z22+Z23,0))+(IF(AND(INT($C$3/6)&gt;2,INT($C$3/6)&lt;4),Z22+Z23+Z24,0))+(IF(AND(INT($C$3/6)&gt;3,INT($C$3/6)&lt;5),Z22+Z23+Z24+Z25,0))+(IF(INT($C$3/6)&gt;4,Z22+Z23+Z24+Z25+Z26,0)))*2)+(F33*12)+(F34*2)</f>
        <v>43366.94</v>
      </c>
      <c r="G43" s="3">
        <f t="shared" ref="G43:I43" si="22">((+G14+G18+G19)*12)+(G16*INT($C$3/3)*12)+((G15+G18)*2)+((G20)*2)+(G17*INT($C$3/3)*2)+(G28*14)+(IF($C$6="si",(G30*12)+(G31*INT($C$3/3)*12),G29*12))+(IF($C$4="si",G32,0))+(((IF(INT($C$3/3)&lt;6,G21,0))+(IF(AND(INT($C$3/6)&gt;0,INT($C$3/6)&lt;2),G22,0))+(IF(AND(INT($C$3/6)&gt;1,INT($C$3/6)&lt;3),G22+G23,0))+(IF(AND(INT($C$3/6)&gt;2,INT($C$3/6)&lt;4),G22+G23+G24,0))+(IF(AND(INT($C$3/6)&gt;3,INT($C$3/6)&lt;5),G22+G23+G24+G25,0))+(IF(INT($C$3/6)&gt;4,G22+G23+G24+G25+G26,0)))*12)+(IF($C$7="si",G27*12,0))+(((IF(INT($C$3/3)&lt;6,G21,0))+(IF(AND(INT($C$3/6)&gt;0,INT($C$3/6)&lt;2),AA22,0))+(IF(AND(INT($C$3/6)&gt;1,INT($C$3/6)&lt;3),AA22+AA23,0))+(IF(AND(INT($C$3/6)&gt;2,INT($C$3/6)&lt;4),AA22+AA23+AA24,0))+(IF(AND(INT($C$3/6)&gt;3,INT($C$3/6)&lt;5),AA22+AA23+AA24+AA25,0))+(IF(INT($C$3/6)&gt;4,AA22+AA23+AA24+AA25+AA26,0)))*2)+(G33*12)+(G34*2)</f>
        <v>43830.16</v>
      </c>
      <c r="H43" s="3">
        <f t="shared" si="22"/>
        <v>43830.16</v>
      </c>
      <c r="I43" s="3">
        <f t="shared" si="22"/>
        <v>50376.399999999994</v>
      </c>
      <c r="J43" s="3">
        <f t="shared" ref="J43" si="23">((+J14+J18+J19)*12)+(J16*INT($C$3/3)*12)+((J15+J18)*2)+((J20)*2)+(J17*INT($C$3/3)*2)+(J28*14)+(IF($C$6="si",(J30*12)+(J31*INT($C$3/3)*12),J29*12))+(IF($C$4="si",J32,0))+(((IF(INT($C$3/3)&lt;6,J21,0))+(IF(AND(INT($C$3/6)&gt;0,INT($C$3/6)&lt;2),J22,0))+(IF(AND(INT($C$3/6)&gt;1,INT($C$3/6)&lt;3),J22+J23,0))+(IF(AND(INT($C$3/6)&gt;2,INT($C$3/6)&lt;4),J22+J23+J24,0))+(IF(AND(INT($C$3/6)&gt;3,INT($C$3/6)&lt;5),J22+J23+J24+J25,0))+(IF(INT($C$3/6)&gt;4,J22+J23+J24+J25+J26,0)))*12)+(IF($C$7="si",J27*12,0))+(((IF(INT($C$3/3)&lt;6,J21,0))+(IF(AND(INT($C$3/6)&gt;0,INT($C$3/6)&lt;2),AD22,0))+(IF(AND(INT($C$3/6)&gt;1,INT($C$3/6)&lt;3),AD22+AD23,0))+(IF(AND(INT($C$3/6)&gt;2,INT($C$3/6)&lt;4),AD22+AD23+AD24,0))+(IF(AND(INT($C$3/6)&gt;3,INT($C$3/6)&lt;5),AD22+AD23+AD24+AD25,0))+(IF(INT($C$3/6)&gt;4,AD22+AD23+AD24+AD25+AD26,0)))*2)+(J33*12)+(J34*2)</f>
        <v>46822.079999999994</v>
      </c>
      <c r="K43" s="3">
        <f t="shared" ref="K43" si="24">((+K14+K18+K19)*12)+(K16*INT($C$3/3)*12)+((K15+K18)*2)+((K20)*2)+(K17*INT($C$3/3)*2)+(K28*14)+(IF($C$6="si",(K30*12)+(K31*INT($C$3/3)*12),K29*12))+(IF($C$4="si",K32,0))+(((IF(INT($C$3/3)&lt;6,K21,0))+(IF(AND(INT($C$3/6)&gt;0,INT($C$3/6)&lt;2),K22,0))+(IF(AND(INT($C$3/6)&gt;1,INT($C$3/6)&lt;3),K22+K23,0))+(IF(AND(INT($C$3/6)&gt;2,INT($C$3/6)&lt;4),K22+K23+K24,0))+(IF(AND(INT($C$3/6)&gt;3,INT($C$3/6)&lt;5),K22+K23+K24+K25,0))+(IF(INT($C$3/6)&gt;4,K22+K23+K24+K25+K26,0)))*12)+(IF($C$7="si",K27*12,0))+(((IF(INT($C$3/3)&lt;6,K21,0))+(IF(AND(INT($C$3/6)&gt;0,INT($C$3/6)&lt;2),AE22,0))+(IF(AND(INT($C$3/6)&gt;1,INT($C$3/6)&lt;3),AE22+AE23,0))+(IF(AND(INT($C$3/6)&gt;2,INT($C$3/6)&lt;4),AE22+AE23+AE24,0))+(IF(AND(INT($C$3/6)&gt;3,INT($C$3/6)&lt;5),AE22+AE23+AE24+AE25,0))+(IF(INT($C$3/6)&gt;4,AE22+AE23+AE24+AE25+AE26,0)))*2)+(K33*12)+(K34*2)</f>
        <v>46822.079999999994</v>
      </c>
      <c r="L43" s="3">
        <f t="shared" ref="L43" si="25">((+L14+L18+L19)*12)+(L16*INT($C$3/3)*12)+((L15+L18)*2)+((L20)*2)+(L17*INT($C$3/3)*2)+(L28*14)+(IF($C$6="si",(L30*12)+(L31*INT($C$3/3)*12),L29*12))+(IF($C$4="si",L32,0))+(((IF(INT($C$3/3)&lt;6,L21,0))+(IF(AND(INT($C$3/6)&gt;0,INT($C$3/6)&lt;2),L22,0))+(IF(AND(INT($C$3/6)&gt;1,INT($C$3/6)&lt;3),L22+L23,0))+(IF(AND(INT($C$3/6)&gt;2,INT($C$3/6)&lt;4),L22+L23+L24,0))+(IF(AND(INT($C$3/6)&gt;3,INT($C$3/6)&lt;5),L22+L23+L24+L25,0))+(IF(INT($C$3/6)&gt;4,L22+L23+L24+L25+L26,0)))*12)+(IF($C$7="si",L27*12,0))+(((IF(INT($C$3/3)&lt;6,L21,0))+(IF(AND(INT($C$3/6)&gt;0,INT($C$3/6)&lt;2),AF22,0))+(IF(AND(INT($C$3/6)&gt;1,INT($C$3/6)&lt;3),AF22+AF23,0))+(IF(AND(INT($C$3/6)&gt;2,INT($C$3/6)&lt;4),AF22+AF23+AF24,0))+(IF(AND(INT($C$3/6)&gt;3,INT($C$3/6)&lt;5),AF22+AF23+AF24+AF25,0))+(IF(INT($C$3/6)&gt;4,AF22+AF23+AF24+AF25+AF26,0)))*2)+(L33*12)+(L34*2)</f>
        <v>46822.079999999994</v>
      </c>
      <c r="M43" s="3">
        <f t="shared" ref="M43" si="26">((+M14+M18+M19)*12)+(M16*INT($C$3/3)*12)+((M15+M18)*2)+((M20)*2)+(M17*INT($C$3/3)*2)+(M28*14)+(IF($C$6="si",(M30*12)+(M31*INT($C$3/3)*12),M29*12))+(IF($C$4="si",M32,0))+(((IF(INT($C$3/3)&lt;6,M21,0))+(IF(AND(INT($C$3/6)&gt;0,INT($C$3/6)&lt;2),M22,0))+(IF(AND(INT($C$3/6)&gt;1,INT($C$3/6)&lt;3),M22+M23,0))+(IF(AND(INT($C$3/6)&gt;2,INT($C$3/6)&lt;4),M22+M23+M24,0))+(IF(AND(INT($C$3/6)&gt;3,INT($C$3/6)&lt;5),M22+M23+M24+M25,0))+(IF(INT($C$3/6)&gt;4,M22+M23+M24+M25+M26,0)))*12)+(IF($C$7="si",M27*12,0))+(((IF(INT($C$3/3)&lt;6,M21,0))+(IF(AND(INT($C$3/6)&gt;0,INT($C$3/6)&lt;2),AG22,0))+(IF(AND(INT($C$3/6)&gt;1,INT($C$3/6)&lt;3),AG22+AG23,0))+(IF(AND(INT($C$3/6)&gt;2,INT($C$3/6)&lt;4),AG22+AG23+AG24,0))+(IF(AND(INT($C$3/6)&gt;3,INT($C$3/6)&lt;5),AG22+AG23+AG24+AG25,0))+(IF(INT($C$3/6)&gt;4,AG22+AG23+AG24+AG25+AG26,0)))*2)+(M33*12)+(M34*2)</f>
        <v>50502.94</v>
      </c>
      <c r="N43" s="3">
        <f t="shared" ref="N43" si="27">((+N14+N18+N19)*12)+(N16*INT($C$3/3)*12)+((N15+N18)*2)+((N20)*2)+(N17*INT($C$3/3)*2)+(N28*14)+(IF($C$6="si",(N30*12)+(N31*INT($C$3/3)*12),N29*12))+(IF($C$4="si",N32,0))+(((IF(INT($C$3/3)&lt;6,N21,0))+(IF(AND(INT($C$3/6)&gt;0,INT($C$3/6)&lt;2),N22,0))+(IF(AND(INT($C$3/6)&gt;1,INT($C$3/6)&lt;3),N22+N23,0))+(IF(AND(INT($C$3/6)&gt;2,INT($C$3/6)&lt;4),N22+N23+N24,0))+(IF(AND(INT($C$3/6)&gt;3,INT($C$3/6)&lt;5),N22+N23+N24+N25,0))+(IF(INT($C$3/6)&gt;4,N22+N23+N24+N25+N26,0)))*12)+(IF($C$7="si",N27*12,0))+(((IF(INT($C$3/3)&lt;6,N21,0))+(IF(AND(INT($C$3/6)&gt;0,INT($C$3/6)&lt;2),AH22,0))+(IF(AND(INT($C$3/6)&gt;1,INT($C$3/6)&lt;3),AH22+AH23,0))+(IF(AND(INT($C$3/6)&gt;2,INT($C$3/6)&lt;4),AH22+AH23+AH24,0))+(IF(AND(INT($C$3/6)&gt;3,INT($C$3/6)&lt;5),AH22+AH23+AH24+AH25,0))+(IF(INT($C$3/6)&gt;4,AH22+AH23+AH24+AH25+AH26,0)))*2)+(N33*12)+(N34*2)</f>
        <v>58947.22</v>
      </c>
    </row>
    <row r="44" spans="2:24">
      <c r="C44" s="24"/>
    </row>
    <row r="50" spans="2:27" s="2" customFormat="1" ht="12.9" customHeight="1">
      <c r="B50" s="9"/>
      <c r="C50" s="2" t="str">
        <f>+E51</f>
        <v>Andalucía</v>
      </c>
    </row>
    <row r="51" spans="2:27" s="2" customFormat="1" ht="35.25" customHeight="1">
      <c r="C51" s="10" t="str">
        <f>+$C$11</f>
        <v>590-Profesores Enseñanza Secundaria</v>
      </c>
      <c r="E51" s="11" t="s">
        <v>25</v>
      </c>
      <c r="F51" s="12" t="s">
        <v>120</v>
      </c>
      <c r="G51" s="12" t="s">
        <v>110</v>
      </c>
      <c r="H51" s="12" t="s">
        <v>118</v>
      </c>
      <c r="I51" s="12" t="s">
        <v>4</v>
      </c>
      <c r="J51" s="12" t="s">
        <v>112</v>
      </c>
      <c r="K51" s="12" t="s">
        <v>114</v>
      </c>
      <c r="L51" s="12" t="s">
        <v>116</v>
      </c>
      <c r="M51" s="12" t="s">
        <v>107</v>
      </c>
      <c r="N51" s="12" t="s">
        <v>105</v>
      </c>
      <c r="O51" s="13" t="s">
        <v>143</v>
      </c>
      <c r="Q51" s="14" t="s">
        <v>137</v>
      </c>
      <c r="R51" s="14"/>
      <c r="S51" s="13"/>
      <c r="T51" s="13"/>
      <c r="U51" s="13"/>
      <c r="V51" s="13"/>
      <c r="W51" s="43" t="s">
        <v>138</v>
      </c>
      <c r="X51" s="13"/>
      <c r="Y51" s="13"/>
    </row>
    <row r="52" spans="2:27" s="2" customFormat="1" ht="12.9" customHeight="1">
      <c r="B52" s="44" t="s">
        <v>91</v>
      </c>
      <c r="C52" s="16" t="str">
        <f t="shared" ref="C52:C79" si="28">IF($C$11=$F$11,F52,IF($C$11=G$11,G52,IF($C$11=H$11,H52,IF($C$11=I$11,I52,IF($C$11=J$11,J52,IF($C$11=K$11,K52,IF($C$11=L$11,L52,IF($C$11=M$11,M52,N52))))))))</f>
        <v>A1</v>
      </c>
      <c r="E52" s="45" t="s">
        <v>91</v>
      </c>
      <c r="F52" s="17" t="s">
        <v>137</v>
      </c>
      <c r="G52" s="17" t="s">
        <v>137</v>
      </c>
      <c r="H52" s="17" t="s">
        <v>137</v>
      </c>
      <c r="I52" s="17" t="s">
        <v>138</v>
      </c>
      <c r="J52" s="17" t="s">
        <v>138</v>
      </c>
      <c r="K52" s="17" t="s">
        <v>138</v>
      </c>
      <c r="L52" s="17" t="s">
        <v>138</v>
      </c>
      <c r="M52" s="17" t="s">
        <v>138</v>
      </c>
      <c r="N52" s="17" t="s">
        <v>138</v>
      </c>
      <c r="R52" s="2" t="s">
        <v>20</v>
      </c>
      <c r="S52" s="2" t="s">
        <v>123</v>
      </c>
      <c r="T52" s="2" t="s">
        <v>126</v>
      </c>
      <c r="U52" s="2" t="s">
        <v>129</v>
      </c>
      <c r="V52" s="2" t="s">
        <v>130</v>
      </c>
      <c r="W52" s="2" t="s">
        <v>20</v>
      </c>
      <c r="X52" s="2" t="s">
        <v>123</v>
      </c>
      <c r="Y52" s="2" t="s">
        <v>126</v>
      </c>
      <c r="Z52" s="2" t="s">
        <v>129</v>
      </c>
      <c r="AA52" s="2" t="s">
        <v>130</v>
      </c>
    </row>
    <row r="53" spans="2:27" s="2" customFormat="1" ht="12.9" customHeight="1">
      <c r="B53" s="44" t="str">
        <f>+E53</f>
        <v>Nivel</v>
      </c>
      <c r="C53" s="16">
        <f t="shared" si="28"/>
        <v>24</v>
      </c>
      <c r="E53" s="45" t="s">
        <v>144</v>
      </c>
      <c r="F53" s="17">
        <v>21</v>
      </c>
      <c r="G53" s="17">
        <v>24</v>
      </c>
      <c r="H53" s="17">
        <v>24</v>
      </c>
      <c r="I53" s="17">
        <v>24</v>
      </c>
      <c r="J53" s="17">
        <v>24</v>
      </c>
      <c r="K53" s="17">
        <v>24</v>
      </c>
      <c r="L53" s="17">
        <v>24</v>
      </c>
      <c r="M53" s="17">
        <v>26</v>
      </c>
      <c r="N53" s="17">
        <v>26</v>
      </c>
      <c r="Q53" s="2" t="s">
        <v>124</v>
      </c>
      <c r="R53" s="2">
        <v>0</v>
      </c>
      <c r="S53" s="19">
        <v>803.31</v>
      </c>
      <c r="T53" s="19"/>
      <c r="U53" s="19">
        <v>442.01</v>
      </c>
      <c r="V53" s="19">
        <f>U53</f>
        <v>442.01</v>
      </c>
      <c r="W53" s="2">
        <v>0</v>
      </c>
      <c r="X53" s="19">
        <v>994.55</v>
      </c>
      <c r="Y53" s="19">
        <v>524.39</v>
      </c>
      <c r="Z53" s="19">
        <v>200.53</v>
      </c>
      <c r="AA53" s="19">
        <f>Z53</f>
        <v>200.53</v>
      </c>
    </row>
    <row r="54" spans="2:27" s="2" customFormat="1" ht="12.9" customHeight="1">
      <c r="B54" s="22" t="s">
        <v>43</v>
      </c>
      <c r="C54" s="16">
        <f t="shared" si="28"/>
        <v>1387.24</v>
      </c>
      <c r="E54" s="22" t="s">
        <v>43</v>
      </c>
      <c r="F54" s="46">
        <v>1199.52</v>
      </c>
      <c r="G54" s="23">
        <f t="shared" ref="G54:H57" si="29">+F54</f>
        <v>1199.52</v>
      </c>
      <c r="H54" s="23">
        <f t="shared" si="29"/>
        <v>1199.52</v>
      </c>
      <c r="I54" s="46">
        <v>1387.24</v>
      </c>
      <c r="J54" s="23">
        <f>+I54</f>
        <v>1387.24</v>
      </c>
      <c r="K54" s="23">
        <f>+J54</f>
        <v>1387.24</v>
      </c>
      <c r="L54" s="23">
        <f>+K54</f>
        <v>1387.24</v>
      </c>
      <c r="M54" s="23">
        <f>+L54</f>
        <v>1387.24</v>
      </c>
      <c r="N54" s="23">
        <f>+M54</f>
        <v>1387.24</v>
      </c>
      <c r="Q54" s="2" t="s">
        <v>127</v>
      </c>
      <c r="R54" s="2">
        <v>0</v>
      </c>
      <c r="S54" s="19">
        <v>703.42</v>
      </c>
      <c r="T54" s="19"/>
      <c r="U54" s="19">
        <v>355.85</v>
      </c>
      <c r="V54" s="19">
        <f>U54</f>
        <v>355.85</v>
      </c>
      <c r="W54" s="2">
        <v>0</v>
      </c>
      <c r="X54" s="19">
        <v>797.63</v>
      </c>
      <c r="Y54" s="19">
        <v>437.01</v>
      </c>
      <c r="Z54" s="19">
        <v>200.53</v>
      </c>
      <c r="AA54" s="19">
        <f t="shared" ref="AA54:AA56" si="30">Z54</f>
        <v>200.53</v>
      </c>
    </row>
    <row r="55" spans="2:27" s="2" customFormat="1" ht="12.9" customHeight="1">
      <c r="B55" s="22" t="s">
        <v>92</v>
      </c>
      <c r="C55" s="16">
        <f t="shared" si="28"/>
        <v>856.05</v>
      </c>
      <c r="E55" s="22" t="s">
        <v>92</v>
      </c>
      <c r="F55" s="27">
        <v>874.83</v>
      </c>
      <c r="G55" s="25">
        <f>+F55</f>
        <v>874.83</v>
      </c>
      <c r="H55" s="25">
        <f t="shared" si="29"/>
        <v>874.83</v>
      </c>
      <c r="I55" s="27">
        <v>856.05</v>
      </c>
      <c r="J55" s="23">
        <f t="shared" ref="J55:N59" si="31">+I55</f>
        <v>856.05</v>
      </c>
      <c r="K55" s="23">
        <f t="shared" si="31"/>
        <v>856.05</v>
      </c>
      <c r="L55" s="23">
        <f t="shared" si="31"/>
        <v>856.05</v>
      </c>
      <c r="M55" s="23">
        <f t="shared" si="31"/>
        <v>856.05</v>
      </c>
      <c r="N55" s="23">
        <f t="shared" si="31"/>
        <v>856.05</v>
      </c>
      <c r="Q55" s="2" t="s">
        <v>22</v>
      </c>
      <c r="R55" s="2">
        <v>0</v>
      </c>
      <c r="S55" s="19">
        <v>505.11</v>
      </c>
      <c r="T55" s="19"/>
      <c r="U55" s="19">
        <v>269.68</v>
      </c>
      <c r="V55" s="19">
        <f>U55</f>
        <v>269.68</v>
      </c>
      <c r="W55" s="2">
        <v>0</v>
      </c>
      <c r="X55" s="19">
        <v>697.7</v>
      </c>
      <c r="Y55" s="19">
        <v>350.9</v>
      </c>
      <c r="Z55" s="19">
        <v>200.53</v>
      </c>
      <c r="AA55" s="19">
        <f t="shared" si="30"/>
        <v>200.53</v>
      </c>
    </row>
    <row r="56" spans="2:27" s="2" customFormat="1" ht="12.9" customHeight="1">
      <c r="B56" s="22" t="s">
        <v>93</v>
      </c>
      <c r="C56" s="16">
        <f t="shared" si="28"/>
        <v>53.39</v>
      </c>
      <c r="E56" s="22" t="s">
        <v>93</v>
      </c>
      <c r="F56" s="27">
        <v>43.54</v>
      </c>
      <c r="G56" s="23">
        <f t="shared" si="29"/>
        <v>43.54</v>
      </c>
      <c r="H56" s="23">
        <f t="shared" si="29"/>
        <v>43.54</v>
      </c>
      <c r="I56" s="27">
        <v>53.39</v>
      </c>
      <c r="J56" s="23">
        <f t="shared" si="31"/>
        <v>53.39</v>
      </c>
      <c r="K56" s="23">
        <f t="shared" si="31"/>
        <v>53.39</v>
      </c>
      <c r="L56" s="23">
        <f t="shared" si="31"/>
        <v>53.39</v>
      </c>
      <c r="M56" s="23">
        <f t="shared" si="31"/>
        <v>53.39</v>
      </c>
      <c r="N56" s="23">
        <f t="shared" si="31"/>
        <v>53.39</v>
      </c>
      <c r="Q56" s="2" t="s">
        <v>131</v>
      </c>
      <c r="R56" s="2">
        <v>0</v>
      </c>
      <c r="S56" s="19">
        <v>308.2</v>
      </c>
      <c r="T56" s="19"/>
      <c r="U56" s="19">
        <v>182.31</v>
      </c>
      <c r="V56" s="19">
        <f>U56</f>
        <v>182.31</v>
      </c>
      <c r="W56" s="2">
        <v>0</v>
      </c>
      <c r="X56" s="19"/>
      <c r="Y56" s="19"/>
      <c r="Z56" s="19"/>
      <c r="AA56" s="19">
        <f t="shared" si="30"/>
        <v>0</v>
      </c>
    </row>
    <row r="57" spans="2:27" s="2" customFormat="1" ht="12.9" customHeight="1">
      <c r="B57" s="22" t="s">
        <v>95</v>
      </c>
      <c r="C57" s="16">
        <f t="shared" si="28"/>
        <v>32.96</v>
      </c>
      <c r="E57" s="22" t="s">
        <v>95</v>
      </c>
      <c r="F57" s="27">
        <v>31.74</v>
      </c>
      <c r="G57" s="25">
        <f t="shared" si="29"/>
        <v>31.74</v>
      </c>
      <c r="H57" s="25">
        <f t="shared" si="29"/>
        <v>31.74</v>
      </c>
      <c r="I57" s="27">
        <v>32.96</v>
      </c>
      <c r="J57" s="23">
        <f t="shared" si="31"/>
        <v>32.96</v>
      </c>
      <c r="K57" s="23">
        <f t="shared" si="31"/>
        <v>32.96</v>
      </c>
      <c r="L57" s="23">
        <f t="shared" si="31"/>
        <v>32.96</v>
      </c>
      <c r="M57" s="23">
        <f t="shared" si="31"/>
        <v>32.96</v>
      </c>
      <c r="N57" s="23">
        <f t="shared" si="31"/>
        <v>32.96</v>
      </c>
      <c r="Q57" s="2" t="s">
        <v>133</v>
      </c>
      <c r="R57" s="2">
        <v>0</v>
      </c>
      <c r="S57" s="19">
        <v>208.36</v>
      </c>
      <c r="T57" s="26"/>
      <c r="U57" s="26"/>
      <c r="V57" s="19"/>
      <c r="W57" s="2">
        <v>0</v>
      </c>
      <c r="X57" s="26"/>
      <c r="Y57" s="26"/>
      <c r="Z57" s="19"/>
      <c r="AA57" s="26"/>
    </row>
    <row r="58" spans="2:27" s="2" customFormat="1" ht="12.9" customHeight="1">
      <c r="B58" s="22" t="s">
        <v>46</v>
      </c>
      <c r="C58" s="16">
        <f t="shared" si="28"/>
        <v>729.14</v>
      </c>
      <c r="E58" s="22" t="s">
        <v>46</v>
      </c>
      <c r="F58" s="27">
        <v>592.11</v>
      </c>
      <c r="G58" s="27">
        <v>729.14</v>
      </c>
      <c r="H58" s="23">
        <f>+G58</f>
        <v>729.14</v>
      </c>
      <c r="I58" s="23">
        <f>+H58</f>
        <v>729.14</v>
      </c>
      <c r="J58" s="23">
        <f t="shared" si="31"/>
        <v>729.14</v>
      </c>
      <c r="K58" s="23">
        <f t="shared" si="31"/>
        <v>729.14</v>
      </c>
      <c r="L58" s="23">
        <f t="shared" si="31"/>
        <v>729.14</v>
      </c>
      <c r="M58" s="27">
        <v>873.38</v>
      </c>
      <c r="N58" s="23">
        <f>+M58</f>
        <v>873.38</v>
      </c>
      <c r="Q58" s="2" t="s">
        <v>134</v>
      </c>
      <c r="R58" s="2">
        <v>0</v>
      </c>
      <c r="S58" s="19"/>
      <c r="T58" s="26"/>
      <c r="U58" s="26"/>
      <c r="V58" s="26"/>
      <c r="W58" s="2">
        <v>0</v>
      </c>
      <c r="X58" s="26"/>
      <c r="Y58" s="26"/>
      <c r="Z58" s="26"/>
      <c r="AA58" s="26"/>
    </row>
    <row r="59" spans="2:27" s="2" customFormat="1" ht="12.9" customHeight="1">
      <c r="B59" s="22" t="s">
        <v>48</v>
      </c>
      <c r="C59" s="16">
        <f t="shared" si="28"/>
        <v>881.46</v>
      </c>
      <c r="E59" s="22" t="s">
        <v>48</v>
      </c>
      <c r="F59" s="27">
        <v>857.3</v>
      </c>
      <c r="G59" s="27">
        <v>881.46</v>
      </c>
      <c r="H59" s="23">
        <f>+G59</f>
        <v>881.46</v>
      </c>
      <c r="I59" s="23">
        <f t="shared" ref="I59" si="32">+H59</f>
        <v>881.46</v>
      </c>
      <c r="J59" s="23">
        <f t="shared" si="31"/>
        <v>881.46</v>
      </c>
      <c r="K59" s="23">
        <f t="shared" si="31"/>
        <v>881.46</v>
      </c>
      <c r="L59" s="23">
        <f t="shared" si="31"/>
        <v>881.46</v>
      </c>
      <c r="M59" s="23">
        <f t="shared" ref="M59" si="33">+L59</f>
        <v>881.46</v>
      </c>
      <c r="N59" s="46">
        <v>2175.81</v>
      </c>
    </row>
    <row r="60" spans="2:27" s="2" customFormat="1" ht="12.9" customHeight="1">
      <c r="B60" s="29" t="s">
        <v>49</v>
      </c>
      <c r="C60" s="16">
        <f t="shared" si="28"/>
        <v>0</v>
      </c>
      <c r="E60" s="29" t="s">
        <v>49</v>
      </c>
      <c r="F60" s="23"/>
      <c r="G60" s="23"/>
      <c r="H60" s="23"/>
      <c r="I60" s="23"/>
      <c r="J60" s="23"/>
      <c r="K60" s="23"/>
      <c r="L60" s="23"/>
      <c r="M60" s="27">
        <v>62.01</v>
      </c>
      <c r="N60" s="23"/>
      <c r="O60" s="47" t="s">
        <v>145</v>
      </c>
    </row>
    <row r="61" spans="2:27" s="2" customFormat="1" ht="12.9" customHeight="1">
      <c r="B61" s="29" t="s">
        <v>98</v>
      </c>
      <c r="C61" s="16">
        <f t="shared" si="28"/>
        <v>0</v>
      </c>
      <c r="E61" s="29" t="s">
        <v>98</v>
      </c>
      <c r="F61" s="23"/>
      <c r="G61" s="23"/>
      <c r="H61" s="23"/>
      <c r="I61" s="23"/>
      <c r="J61" s="23"/>
      <c r="K61" s="23"/>
      <c r="L61" s="23"/>
      <c r="M61" s="23"/>
      <c r="N61" s="23"/>
    </row>
    <row r="62" spans="2:27" s="2" customFormat="1" ht="12.9" customHeight="1">
      <c r="B62" s="29" t="s">
        <v>52</v>
      </c>
      <c r="C62" s="16">
        <f t="shared" si="28"/>
        <v>85.62</v>
      </c>
      <c r="E62" s="29" t="s">
        <v>52</v>
      </c>
      <c r="F62" s="27">
        <v>85.62</v>
      </c>
      <c r="G62" s="23">
        <f>+F62</f>
        <v>85.62</v>
      </c>
      <c r="H62" s="23">
        <f>+G62</f>
        <v>85.62</v>
      </c>
      <c r="I62" s="23">
        <f>+H62</f>
        <v>85.62</v>
      </c>
      <c r="J62" s="23">
        <f>+I62</f>
        <v>85.62</v>
      </c>
      <c r="K62" s="23">
        <f t="shared" ref="K62:K67" si="34">+J62</f>
        <v>85.62</v>
      </c>
      <c r="L62" s="23">
        <f t="shared" ref="L62:L67" si="35">+K62</f>
        <v>85.62</v>
      </c>
      <c r="M62" s="23">
        <f t="shared" ref="M62:M67" si="36">+L62</f>
        <v>85.62</v>
      </c>
      <c r="N62" s="23">
        <f>+M62</f>
        <v>85.62</v>
      </c>
    </row>
    <row r="63" spans="2:27" s="2" customFormat="1" ht="12.9" customHeight="1">
      <c r="B63" s="29" t="s">
        <v>54</v>
      </c>
      <c r="C63" s="16">
        <f t="shared" si="28"/>
        <v>99.51</v>
      </c>
      <c r="E63" s="29" t="s">
        <v>54</v>
      </c>
      <c r="F63" s="27">
        <v>99.51</v>
      </c>
      <c r="G63" s="23">
        <f t="shared" ref="G63:J67" si="37">+F63</f>
        <v>99.51</v>
      </c>
      <c r="H63" s="23">
        <f t="shared" si="37"/>
        <v>99.51</v>
      </c>
      <c r="I63" s="23">
        <f t="shared" si="37"/>
        <v>99.51</v>
      </c>
      <c r="J63" s="23">
        <f t="shared" si="37"/>
        <v>99.51</v>
      </c>
      <c r="K63" s="23">
        <f t="shared" si="34"/>
        <v>99.51</v>
      </c>
      <c r="L63" s="23">
        <f t="shared" si="35"/>
        <v>99.51</v>
      </c>
      <c r="M63" s="23">
        <f t="shared" si="36"/>
        <v>99.51</v>
      </c>
      <c r="N63" s="23">
        <f>+M63</f>
        <v>99.51</v>
      </c>
    </row>
    <row r="64" spans="2:27" s="2" customFormat="1" ht="12.9" customHeight="1">
      <c r="B64" s="29" t="s">
        <v>56</v>
      </c>
      <c r="C64" s="16">
        <f t="shared" si="28"/>
        <v>127.77</v>
      </c>
      <c r="E64" s="29" t="s">
        <v>56</v>
      </c>
      <c r="F64" s="27">
        <v>127.77</v>
      </c>
      <c r="G64" s="23">
        <f t="shared" si="37"/>
        <v>127.77</v>
      </c>
      <c r="H64" s="23">
        <f t="shared" si="37"/>
        <v>127.77</v>
      </c>
      <c r="I64" s="23">
        <f t="shared" si="37"/>
        <v>127.77</v>
      </c>
      <c r="J64" s="23">
        <f t="shared" si="37"/>
        <v>127.77</v>
      </c>
      <c r="K64" s="23">
        <f t="shared" si="34"/>
        <v>127.77</v>
      </c>
      <c r="L64" s="23">
        <f t="shared" si="35"/>
        <v>127.77</v>
      </c>
      <c r="M64" s="23">
        <f t="shared" si="36"/>
        <v>127.77</v>
      </c>
      <c r="N64" s="23">
        <f>+M64</f>
        <v>127.77</v>
      </c>
    </row>
    <row r="65" spans="2:26" s="2" customFormat="1" ht="12.9" customHeight="1">
      <c r="B65" s="29" t="s">
        <v>58</v>
      </c>
      <c r="C65" s="16">
        <f t="shared" si="28"/>
        <v>162.29</v>
      </c>
      <c r="E65" s="29" t="s">
        <v>58</v>
      </c>
      <c r="F65" s="27">
        <v>162.29</v>
      </c>
      <c r="G65" s="23">
        <f t="shared" si="37"/>
        <v>162.29</v>
      </c>
      <c r="H65" s="23">
        <f t="shared" si="37"/>
        <v>162.29</v>
      </c>
      <c r="I65" s="23">
        <f t="shared" si="37"/>
        <v>162.29</v>
      </c>
      <c r="J65" s="23">
        <f t="shared" si="37"/>
        <v>162.29</v>
      </c>
      <c r="K65" s="23">
        <f t="shared" si="34"/>
        <v>162.29</v>
      </c>
      <c r="L65" s="23">
        <f t="shared" si="35"/>
        <v>162.29</v>
      </c>
      <c r="M65" s="23">
        <f t="shared" si="36"/>
        <v>162.29</v>
      </c>
      <c r="N65" s="23">
        <f>+M65</f>
        <v>162.29</v>
      </c>
    </row>
    <row r="66" spans="2:26" s="2" customFormat="1" ht="12.9" customHeight="1">
      <c r="B66" s="29" t="s">
        <v>60</v>
      </c>
      <c r="C66" s="16">
        <f t="shared" si="28"/>
        <v>63.4</v>
      </c>
      <c r="E66" s="29" t="s">
        <v>60</v>
      </c>
      <c r="F66" s="27">
        <v>63.4</v>
      </c>
      <c r="G66" s="23">
        <f t="shared" si="37"/>
        <v>63.4</v>
      </c>
      <c r="H66" s="23">
        <f t="shared" si="37"/>
        <v>63.4</v>
      </c>
      <c r="I66" s="23">
        <f t="shared" si="37"/>
        <v>63.4</v>
      </c>
      <c r="J66" s="23">
        <f t="shared" si="37"/>
        <v>63.4</v>
      </c>
      <c r="K66" s="23">
        <f t="shared" si="34"/>
        <v>63.4</v>
      </c>
      <c r="L66" s="23">
        <f t="shared" si="35"/>
        <v>63.4</v>
      </c>
      <c r="M66" s="23">
        <f t="shared" si="36"/>
        <v>63.4</v>
      </c>
      <c r="N66" s="23">
        <f>+M66</f>
        <v>63.4</v>
      </c>
    </row>
    <row r="67" spans="2:26" s="2" customFormat="1" ht="12.9" customHeight="1">
      <c r="B67" s="29" t="s">
        <v>103</v>
      </c>
      <c r="C67" s="16">
        <f t="shared" si="28"/>
        <v>31.97</v>
      </c>
      <c r="E67" s="29" t="s">
        <v>103</v>
      </c>
      <c r="F67" s="27">
        <v>31.97</v>
      </c>
      <c r="G67" s="23">
        <f t="shared" si="37"/>
        <v>31.97</v>
      </c>
      <c r="H67" s="23">
        <f t="shared" si="37"/>
        <v>31.97</v>
      </c>
      <c r="I67" s="23">
        <f t="shared" si="37"/>
        <v>31.97</v>
      </c>
      <c r="J67" s="23">
        <f t="shared" si="37"/>
        <v>31.97</v>
      </c>
      <c r="K67" s="23">
        <f t="shared" si="34"/>
        <v>31.97</v>
      </c>
      <c r="L67" s="23">
        <f t="shared" si="35"/>
        <v>31.97</v>
      </c>
      <c r="M67" s="23">
        <f t="shared" si="36"/>
        <v>31.97</v>
      </c>
      <c r="N67" s="23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2:26" s="2" customFormat="1" ht="12.9" customHeight="1">
      <c r="B68" s="29" t="s">
        <v>19</v>
      </c>
      <c r="C68" s="16">
        <f t="shared" si="28"/>
        <v>350.9</v>
      </c>
      <c r="E68" s="29" t="s">
        <v>19</v>
      </c>
      <c r="F68" s="30">
        <f>IF($C$1=F51,'Nómina mensual'!$C$29,0)</f>
        <v>0</v>
      </c>
      <c r="G68" s="30">
        <f>IF($C$1=G51,'Nómina mensual'!$C$29,0)</f>
        <v>0</v>
      </c>
      <c r="H68" s="30">
        <f>IF($C$1=H51,'Nómina mensual'!$C$29,0)</f>
        <v>0</v>
      </c>
      <c r="I68" s="30">
        <f>IF($C$1=I51,'Nómina mensual'!$C$29,0)</f>
        <v>350.9</v>
      </c>
      <c r="J68" s="30">
        <f>IF($C$1=J51,'Nómina mensual'!$C$29,0)</f>
        <v>0</v>
      </c>
      <c r="K68" s="30">
        <f>IF($C$1=K51,'Nómina mensual'!$C$29,0)</f>
        <v>0</v>
      </c>
      <c r="L68" s="30">
        <f>IF($C$1=L51,'Nómina mensual'!$C$29,0)</f>
        <v>0</v>
      </c>
      <c r="M68" s="30">
        <f>IF($C$1=M51,'Nómina mensual'!$C$29,0)</f>
        <v>0</v>
      </c>
      <c r="N68" s="23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2:26" s="2" customFormat="1" ht="12.9" customHeight="1">
      <c r="B69" s="31" t="s">
        <v>104</v>
      </c>
      <c r="C69" s="16">
        <f t="shared" si="28"/>
        <v>0</v>
      </c>
      <c r="E69" s="31" t="s">
        <v>104</v>
      </c>
      <c r="F69" s="23"/>
      <c r="G69" s="23"/>
      <c r="H69" s="23"/>
      <c r="I69" s="23"/>
      <c r="J69" s="23"/>
      <c r="K69" s="23"/>
      <c r="L69" s="23"/>
      <c r="M69" s="23"/>
      <c r="N69" s="23"/>
    </row>
    <row r="70" spans="2:26" s="2" customFormat="1" ht="12.9" customHeight="1">
      <c r="B70" s="31" t="s">
        <v>106</v>
      </c>
      <c r="C70" s="16">
        <f t="shared" si="28"/>
        <v>0</v>
      </c>
      <c r="E70" s="31" t="s">
        <v>106</v>
      </c>
      <c r="F70" s="23"/>
      <c r="G70" s="23"/>
      <c r="H70" s="23"/>
      <c r="I70" s="23"/>
      <c r="J70" s="23"/>
      <c r="K70" s="23"/>
      <c r="L70" s="23"/>
      <c r="M70" s="23"/>
      <c r="N70" s="23"/>
    </row>
    <row r="71" spans="2:26" s="2" customFormat="1" ht="12.9" customHeight="1">
      <c r="B71" s="31" t="s">
        <v>108</v>
      </c>
      <c r="C71" s="16">
        <f t="shared" si="28"/>
        <v>0</v>
      </c>
      <c r="E71" s="31" t="s">
        <v>108</v>
      </c>
      <c r="F71" s="23"/>
      <c r="G71" s="23"/>
      <c r="H71" s="23"/>
      <c r="I71" s="23"/>
      <c r="J71" s="23"/>
      <c r="K71" s="23"/>
      <c r="L71" s="23"/>
      <c r="M71" s="23"/>
      <c r="N71" s="23"/>
    </row>
    <row r="72" spans="2:26" s="2" customFormat="1" ht="12.9" customHeight="1">
      <c r="B72" s="33" t="s">
        <v>109</v>
      </c>
      <c r="C72" s="16">
        <f t="shared" si="28"/>
        <v>0</v>
      </c>
      <c r="E72" s="33" t="s">
        <v>109</v>
      </c>
      <c r="F72" s="23">
        <f>G58-F58</f>
        <v>137.03</v>
      </c>
      <c r="G72" s="23"/>
      <c r="H72" s="23"/>
      <c r="I72" s="23"/>
      <c r="J72" s="23"/>
      <c r="K72" s="23"/>
      <c r="L72" s="23"/>
      <c r="M72" s="23"/>
      <c r="N72" s="23"/>
      <c r="O72" s="47" t="s">
        <v>146</v>
      </c>
    </row>
    <row r="73" spans="2:26" s="2" customFormat="1" ht="12.9" customHeight="1">
      <c r="B73" s="34" t="s">
        <v>141</v>
      </c>
      <c r="C73" s="16">
        <f t="shared" si="28"/>
        <v>0</v>
      </c>
      <c r="E73" s="34" t="s">
        <v>141</v>
      </c>
      <c r="F73" s="23"/>
      <c r="G73" s="23"/>
      <c r="H73" s="23"/>
      <c r="I73" s="23"/>
      <c r="J73" s="23"/>
      <c r="K73" s="23"/>
      <c r="L73" s="23"/>
      <c r="M73" s="23"/>
      <c r="N73" s="23"/>
    </row>
    <row r="74" spans="2:26" s="2" customFormat="1" ht="12.9" customHeight="1">
      <c r="B74" s="34" t="s">
        <v>113</v>
      </c>
      <c r="C74" s="16">
        <f t="shared" si="28"/>
        <v>0</v>
      </c>
      <c r="E74" s="34" t="s">
        <v>113</v>
      </c>
      <c r="F74" s="23"/>
      <c r="G74" s="23"/>
      <c r="H74" s="23"/>
      <c r="I74" s="23"/>
      <c r="J74" s="23"/>
      <c r="K74" s="23"/>
      <c r="L74" s="23"/>
      <c r="M74" s="23"/>
      <c r="N74" s="23"/>
    </row>
    <row r="75" spans="2:26" s="2" customFormat="1" ht="12.9" customHeight="1">
      <c r="B75" s="34" t="s">
        <v>115</v>
      </c>
      <c r="C75" s="16">
        <f t="shared" si="28"/>
        <v>0</v>
      </c>
      <c r="E75" s="34" t="s">
        <v>115</v>
      </c>
      <c r="F75" s="23"/>
      <c r="G75" s="23"/>
      <c r="H75" s="23"/>
      <c r="I75" s="23"/>
      <c r="J75" s="23"/>
      <c r="K75" s="23"/>
      <c r="L75" s="23"/>
      <c r="M75" s="23"/>
      <c r="N75" s="23"/>
    </row>
    <row r="76" spans="2:26" s="2" customFormat="1" ht="12.9" customHeight="1">
      <c r="B76" s="35" t="s">
        <v>117</v>
      </c>
      <c r="C76" s="16">
        <f t="shared" si="28"/>
        <v>0</v>
      </c>
      <c r="E76" s="35" t="s">
        <v>117</v>
      </c>
      <c r="F76" s="23"/>
      <c r="G76" s="23"/>
      <c r="H76" s="23"/>
      <c r="I76" s="23"/>
      <c r="J76" s="23"/>
      <c r="K76" s="23"/>
      <c r="L76" s="23"/>
      <c r="M76" s="23"/>
      <c r="N76" s="23"/>
    </row>
    <row r="77" spans="2:26" s="2" customFormat="1" ht="12.9" customHeight="1">
      <c r="B77" s="39" t="s">
        <v>119</v>
      </c>
      <c r="C77" s="16">
        <f t="shared" si="28"/>
        <v>-51.68</v>
      </c>
      <c r="E77" s="39" t="s">
        <v>119</v>
      </c>
      <c r="F77" s="49">
        <v>-40.68</v>
      </c>
      <c r="G77" s="50">
        <f>+F77</f>
        <v>-40.68</v>
      </c>
      <c r="H77" s="50">
        <f>+G77</f>
        <v>-40.68</v>
      </c>
      <c r="I77" s="49">
        <v>-51.68</v>
      </c>
      <c r="J77" s="50">
        <f t="shared" ref="J77:N78" si="38">+I77</f>
        <v>-51.68</v>
      </c>
      <c r="K77" s="50">
        <f t="shared" si="38"/>
        <v>-51.68</v>
      </c>
      <c r="L77" s="50">
        <f t="shared" si="38"/>
        <v>-51.68</v>
      </c>
      <c r="M77" s="50">
        <f t="shared" si="38"/>
        <v>-51.68</v>
      </c>
      <c r="N77" s="50">
        <f t="shared" si="38"/>
        <v>-51.68</v>
      </c>
    </row>
    <row r="78" spans="2:26" s="2" customFormat="1" ht="12.9" customHeight="1">
      <c r="B78" s="39" t="s">
        <v>121</v>
      </c>
      <c r="C78" s="16">
        <f t="shared" si="28"/>
        <v>118.04</v>
      </c>
      <c r="E78" s="39" t="s">
        <v>121</v>
      </c>
      <c r="F78" s="49">
        <v>-92.9</v>
      </c>
      <c r="G78" s="50">
        <f>+F78</f>
        <v>-92.9</v>
      </c>
      <c r="H78" s="50">
        <f>+G78</f>
        <v>-92.9</v>
      </c>
      <c r="I78" s="51">
        <v>118.04</v>
      </c>
      <c r="J78" s="50">
        <f t="shared" si="38"/>
        <v>118.04</v>
      </c>
      <c r="K78" s="50">
        <f t="shared" si="38"/>
        <v>118.04</v>
      </c>
      <c r="L78" s="50">
        <f t="shared" si="38"/>
        <v>118.04</v>
      </c>
      <c r="M78" s="50">
        <f t="shared" si="38"/>
        <v>118.04</v>
      </c>
      <c r="N78" s="50">
        <f t="shared" si="38"/>
        <v>118.04</v>
      </c>
    </row>
    <row r="79" spans="2:26">
      <c r="B79" s="41" t="s">
        <v>80</v>
      </c>
      <c r="C79" s="16">
        <f t="shared" si="28"/>
        <v>46526.579999999994</v>
      </c>
      <c r="E79" s="42" t="s">
        <v>80</v>
      </c>
      <c r="F79" s="3">
        <f>((+F54+F58+F59+F60)*12)+(F56*INT($C$3/3)*12)+((F55+F58)*2)+((F59+F60)*2)+(F57*INT($C$3/3)*2)+(F68*14)+(IF($C$6="s",,F69*12))+(IF($C$4="s",F72,0))+(IF($C$7="s",F67*12,0))++(((IF(INT($C$3/3)&lt;6,F61,0))+(F73*12)+(F74*2)))+F80*14</f>
        <v>37021.600000000006</v>
      </c>
      <c r="G79" s="3">
        <f t="shared" ref="G79:J79" si="39">((+G54+G58+G59+G60)*12)+(G56*INT($C$3/3)*12)+((G55+G58)*2)+((G59+G60)*2)+(G57*INT($C$3/3)*2)+(G68*14)+(IF($C$6="s",,G69*12))+(IF($C$4="s",G72,0))+(IF($C$7="s",G67*12,0))++(((IF(INT($C$3/3)&lt;6,G61,0))+(G73*12)+(G74*2)))+G80*14</f>
        <v>39278.260000000009</v>
      </c>
      <c r="H79" s="3">
        <f t="shared" si="39"/>
        <v>39278.260000000009</v>
      </c>
      <c r="I79" s="3">
        <f t="shared" si="39"/>
        <v>46526.579999999994</v>
      </c>
      <c r="J79" s="3">
        <f t="shared" si="39"/>
        <v>41613.979999999996</v>
      </c>
      <c r="K79" s="3">
        <f t="shared" ref="K79" si="40">((+K54+K58+K59+K60)*12)+(K56*INT($C$3/3)*12)+((K55+K58)*2)+((K59+K60)*2)+(K57*INT($C$3/3)*2)+(K68*14)+(IF($C$6="s",,K69*12))+(IF($C$4="s",K72,0))+(IF($C$7="s",K67*12,0))++(((IF(INT($C$3/3)&lt;6,K61,0))+(K73*12)+(K74*2)))+K80*14</f>
        <v>41613.979999999996</v>
      </c>
      <c r="L79" s="3">
        <f t="shared" ref="L79" si="41">((+L54+L58+L59+L60)*12)+(L56*INT($C$3/3)*12)+((L55+L58)*2)+((L59+L60)*2)+(L57*INT($C$3/3)*2)+(L68*14)+(IF($C$6="s",,L69*12))+(IF($C$4="s",L72,0))+(IF($C$7="s",L67*12,0))++(((IF(INT($C$3/3)&lt;6,L61,0))+(L73*12)+(L74*2)))+L80*14</f>
        <v>41613.979999999996</v>
      </c>
      <c r="M79" s="3">
        <f t="shared" ref="M79" si="42">((+M54+M58+M59+M60)*12)+(M56*INT($C$3/3)*12)+((M55+M58)*2)+((M59+M60)*2)+(M57*INT($C$3/3)*2)+(M68*14)+(IF($C$6="s",,M69*12))+(IF($C$4="s",M72,0))+(IF($C$7="s",M67*12,0))++(((IF(INT($C$3/3)&lt;6,M61,0))+(M73*12)+(M74*2)))+M80*14</f>
        <v>44501.48</v>
      </c>
      <c r="N79" s="3">
        <f t="shared" ref="N79" si="43">((+N54+N58+N59+N60)*12)+(N56*INT($C$3/3)*12)+((N55+N58)*2)+((N59+N60)*2)+(N57*INT($C$3/3)*2)+(N68*14)+(IF($C$6="s",,N69*12))+(IF($C$4="s",N72,0))+(IF($C$7="s",N67*12,0))++(((IF(INT($C$3/3)&lt;6,N61,0))+(N73*12)+(N74*2)))+N80*14</f>
        <v>61754.240000000005</v>
      </c>
    </row>
    <row r="80" spans="2:26">
      <c r="E80" s="3" t="s">
        <v>147</v>
      </c>
      <c r="F80" s="3">
        <f t="shared" ref="F80:N80" si="44">IF($C$3/6&gt;=5,SUM(F62:F66),IF($C$3/6&gt;=4,SUM(F63:F66),IF($C$3/6&gt;=3,SUM(F62:F64),IF($C$3/6&gt;=2,SUM(F62:F63),IF($C$3/6&gt;=1,F62,F61)))))</f>
        <v>0</v>
      </c>
      <c r="G80" s="3">
        <f t="shared" si="44"/>
        <v>0</v>
      </c>
      <c r="H80" s="3">
        <f t="shared" si="44"/>
        <v>0</v>
      </c>
      <c r="I80" s="3">
        <f t="shared" si="44"/>
        <v>0</v>
      </c>
      <c r="J80" s="3">
        <f t="shared" si="44"/>
        <v>0</v>
      </c>
      <c r="K80" s="3">
        <f t="shared" si="44"/>
        <v>0</v>
      </c>
      <c r="L80" s="3">
        <f t="shared" si="44"/>
        <v>0</v>
      </c>
      <c r="M80" s="3">
        <f t="shared" si="44"/>
        <v>0</v>
      </c>
      <c r="N80" s="3">
        <f t="shared" si="44"/>
        <v>0</v>
      </c>
    </row>
    <row r="86" spans="2:27" s="2" customFormat="1" ht="12.9" customHeight="1">
      <c r="B86" s="9"/>
      <c r="C86" s="2" t="str">
        <f>+E87</f>
        <v>Aragón</v>
      </c>
    </row>
    <row r="87" spans="2:27" s="2" customFormat="1" ht="35.25" customHeight="1">
      <c r="C87" s="10" t="str">
        <f>+$C$11</f>
        <v>590-Profesores Enseñanza Secundaria</v>
      </c>
      <c r="E87" s="11" t="s">
        <v>26</v>
      </c>
      <c r="F87" s="12" t="s">
        <v>120</v>
      </c>
      <c r="G87" s="12" t="s">
        <v>110</v>
      </c>
      <c r="H87" s="12" t="s">
        <v>118</v>
      </c>
      <c r="I87" s="12" t="s">
        <v>4</v>
      </c>
      <c r="J87" s="12" t="s">
        <v>112</v>
      </c>
      <c r="K87" s="12" t="s">
        <v>114</v>
      </c>
      <c r="L87" s="12" t="s">
        <v>116</v>
      </c>
      <c r="M87" s="12" t="s">
        <v>107</v>
      </c>
      <c r="N87" s="12" t="s">
        <v>105</v>
      </c>
      <c r="O87" s="13" t="s">
        <v>148</v>
      </c>
      <c r="Q87" s="14" t="s">
        <v>137</v>
      </c>
      <c r="R87" s="14"/>
      <c r="S87" s="13"/>
      <c r="T87" s="13"/>
      <c r="U87" s="13"/>
      <c r="V87" s="13"/>
      <c r="W87" s="43" t="s">
        <v>138</v>
      </c>
      <c r="X87" s="13"/>
      <c r="Y87" s="13"/>
    </row>
    <row r="88" spans="2:27" s="2" customFormat="1" ht="12.9" customHeight="1">
      <c r="B88" s="44" t="s">
        <v>91</v>
      </c>
      <c r="C88" s="16" t="str">
        <f t="shared" ref="C88:C115" si="45">IF($C$11=$F$11,F88,IF($C$11=G$11,G88,IF($C$11=H$11,H88,IF($C$11=I$11,I88,IF($C$11=J$11,J88,IF($C$11=K$11,K88,IF($C$11=L$11,L88,IF($C$11=M$11,M88,N88))))))))</f>
        <v>A1</v>
      </c>
      <c r="E88" s="45" t="s">
        <v>91</v>
      </c>
      <c r="F88" s="17" t="s">
        <v>137</v>
      </c>
      <c r="G88" s="17" t="s">
        <v>137</v>
      </c>
      <c r="H88" s="17" t="s">
        <v>137</v>
      </c>
      <c r="I88" s="17" t="s">
        <v>138</v>
      </c>
      <c r="J88" s="17" t="s">
        <v>138</v>
      </c>
      <c r="K88" s="17" t="s">
        <v>138</v>
      </c>
      <c r="L88" s="17" t="s">
        <v>138</v>
      </c>
      <c r="M88" s="17" t="s">
        <v>138</v>
      </c>
      <c r="N88" s="17" t="s">
        <v>138</v>
      </c>
      <c r="R88" s="2" t="s">
        <v>20</v>
      </c>
      <c r="S88" s="2" t="s">
        <v>123</v>
      </c>
      <c r="T88" s="2" t="s">
        <v>126</v>
      </c>
      <c r="U88" s="2" t="s">
        <v>129</v>
      </c>
      <c r="V88" s="2" t="s">
        <v>130</v>
      </c>
      <c r="W88" s="2" t="s">
        <v>20</v>
      </c>
      <c r="X88" s="2" t="s">
        <v>123</v>
      </c>
      <c r="Y88" s="2" t="s">
        <v>126</v>
      </c>
      <c r="Z88" s="2" t="s">
        <v>129</v>
      </c>
      <c r="AA88" s="2" t="s">
        <v>130</v>
      </c>
    </row>
    <row r="89" spans="2:27" s="2" customFormat="1" ht="12.9" customHeight="1">
      <c r="B89" s="44" t="str">
        <f>+E89</f>
        <v>Nivel</v>
      </c>
      <c r="C89" s="16">
        <f t="shared" si="45"/>
        <v>24</v>
      </c>
      <c r="E89" s="45" t="s">
        <v>144</v>
      </c>
      <c r="F89" s="17">
        <v>21</v>
      </c>
      <c r="G89" s="17">
        <v>24</v>
      </c>
      <c r="H89" s="17">
        <v>24</v>
      </c>
      <c r="I89" s="17">
        <v>24</v>
      </c>
      <c r="J89" s="17">
        <v>24</v>
      </c>
      <c r="K89" s="17">
        <v>24</v>
      </c>
      <c r="L89" s="17">
        <v>24</v>
      </c>
      <c r="M89" s="17">
        <v>26</v>
      </c>
      <c r="N89" s="17">
        <v>26</v>
      </c>
      <c r="Q89" s="2" t="s">
        <v>124</v>
      </c>
      <c r="R89" s="2">
        <v>0</v>
      </c>
      <c r="S89" s="19">
        <v>737.14</v>
      </c>
      <c r="T89" s="19"/>
      <c r="U89" s="19">
        <v>305.31</v>
      </c>
      <c r="V89" s="2">
        <f>U89</f>
        <v>305.31</v>
      </c>
      <c r="W89" s="2">
        <v>0</v>
      </c>
      <c r="X89" s="52">
        <v>899.46</v>
      </c>
      <c r="Y89" s="52">
        <v>459.72</v>
      </c>
      <c r="Z89" s="53">
        <f>Y89</f>
        <v>459.72</v>
      </c>
      <c r="AA89" s="53">
        <f>Z89</f>
        <v>459.72</v>
      </c>
    </row>
    <row r="90" spans="2:27" s="2" customFormat="1" ht="12.9" customHeight="1">
      <c r="B90" s="22" t="s">
        <v>43</v>
      </c>
      <c r="C90" s="16">
        <f t="shared" si="45"/>
        <v>1387.24</v>
      </c>
      <c r="E90" s="22" t="s">
        <v>43</v>
      </c>
      <c r="F90" s="23">
        <f t="shared" ref="F90:I93" si="46">+F54</f>
        <v>1199.52</v>
      </c>
      <c r="G90" s="23">
        <f t="shared" si="46"/>
        <v>1199.52</v>
      </c>
      <c r="H90" s="23">
        <f t="shared" si="46"/>
        <v>1199.52</v>
      </c>
      <c r="I90" s="23">
        <f t="shared" si="46"/>
        <v>1387.24</v>
      </c>
      <c r="J90" s="23">
        <f>+I90</f>
        <v>1387.24</v>
      </c>
      <c r="K90" s="23">
        <f>+J90</f>
        <v>1387.24</v>
      </c>
      <c r="L90" s="23">
        <f>+K90</f>
        <v>1387.24</v>
      </c>
      <c r="M90" s="23">
        <f>+L90</f>
        <v>1387.24</v>
      </c>
      <c r="N90" s="23">
        <f>+M90</f>
        <v>1387.24</v>
      </c>
      <c r="Q90" s="2" t="s">
        <v>127</v>
      </c>
      <c r="R90" s="2">
        <v>0</v>
      </c>
      <c r="S90" s="19">
        <v>667.27</v>
      </c>
      <c r="T90" s="19"/>
      <c r="U90" s="19">
        <v>286.88</v>
      </c>
      <c r="V90" s="2">
        <f>U90</f>
        <v>286.88</v>
      </c>
      <c r="W90" s="2">
        <v>0</v>
      </c>
      <c r="X90" s="52">
        <v>774.74</v>
      </c>
      <c r="Y90" s="52">
        <v>454.5</v>
      </c>
      <c r="Z90" s="53">
        <f t="shared" ref="Z90:AA92" si="47">Y90</f>
        <v>454.5</v>
      </c>
      <c r="AA90" s="53">
        <f t="shared" si="47"/>
        <v>454.5</v>
      </c>
    </row>
    <row r="91" spans="2:27" s="2" customFormat="1" ht="12.9" customHeight="1">
      <c r="B91" s="22" t="s">
        <v>92</v>
      </c>
      <c r="C91" s="16">
        <f t="shared" si="45"/>
        <v>856.05</v>
      </c>
      <c r="E91" s="22" t="s">
        <v>92</v>
      </c>
      <c r="F91" s="25">
        <f t="shared" si="46"/>
        <v>874.83</v>
      </c>
      <c r="G91" s="25">
        <f t="shared" si="46"/>
        <v>874.83</v>
      </c>
      <c r="H91" s="25">
        <f t="shared" si="46"/>
        <v>874.83</v>
      </c>
      <c r="I91" s="25">
        <f t="shared" si="46"/>
        <v>856.05</v>
      </c>
      <c r="J91" s="23">
        <f t="shared" ref="J91:N96" si="48">+I91</f>
        <v>856.05</v>
      </c>
      <c r="K91" s="23">
        <f t="shared" si="48"/>
        <v>856.05</v>
      </c>
      <c r="L91" s="23">
        <f t="shared" si="48"/>
        <v>856.05</v>
      </c>
      <c r="M91" s="23">
        <f t="shared" si="48"/>
        <v>856.05</v>
      </c>
      <c r="N91" s="23">
        <f t="shared" si="48"/>
        <v>856.05</v>
      </c>
      <c r="Q91" s="2" t="s">
        <v>22</v>
      </c>
      <c r="R91" s="2">
        <v>0</v>
      </c>
      <c r="S91" s="19">
        <v>482.88</v>
      </c>
      <c r="T91" s="19"/>
      <c r="U91" s="19">
        <v>277.7</v>
      </c>
      <c r="V91" s="2">
        <f>U91</f>
        <v>277.7</v>
      </c>
      <c r="W91" s="2">
        <v>0</v>
      </c>
      <c r="X91" s="52">
        <v>701.3</v>
      </c>
      <c r="Y91" s="52">
        <v>332.96</v>
      </c>
      <c r="Z91" s="53">
        <f t="shared" si="47"/>
        <v>332.96</v>
      </c>
      <c r="AA91" s="53">
        <f t="shared" si="47"/>
        <v>332.96</v>
      </c>
    </row>
    <row r="92" spans="2:27" s="2" customFormat="1" ht="12.9" customHeight="1">
      <c r="B92" s="22" t="s">
        <v>93</v>
      </c>
      <c r="C92" s="16">
        <f t="shared" si="45"/>
        <v>53.39</v>
      </c>
      <c r="E92" s="22" t="s">
        <v>93</v>
      </c>
      <c r="F92" s="23">
        <f t="shared" si="46"/>
        <v>43.54</v>
      </c>
      <c r="G92" s="23">
        <f t="shared" si="46"/>
        <v>43.54</v>
      </c>
      <c r="H92" s="23">
        <f t="shared" si="46"/>
        <v>43.54</v>
      </c>
      <c r="I92" s="23">
        <f t="shared" si="46"/>
        <v>53.39</v>
      </c>
      <c r="J92" s="23">
        <f t="shared" si="48"/>
        <v>53.39</v>
      </c>
      <c r="K92" s="23">
        <f t="shared" si="48"/>
        <v>53.39</v>
      </c>
      <c r="L92" s="23">
        <f t="shared" si="48"/>
        <v>53.39</v>
      </c>
      <c r="M92" s="23">
        <f t="shared" si="48"/>
        <v>53.39</v>
      </c>
      <c r="N92" s="23">
        <f t="shared" si="48"/>
        <v>53.39</v>
      </c>
      <c r="Q92" s="2" t="s">
        <v>131</v>
      </c>
      <c r="R92" s="2">
        <v>0</v>
      </c>
      <c r="S92" s="19">
        <v>367.22</v>
      </c>
      <c r="T92" s="19"/>
      <c r="U92" s="19">
        <v>204.03</v>
      </c>
      <c r="V92" s="2">
        <f>U92</f>
        <v>204.03</v>
      </c>
      <c r="W92" s="2">
        <v>0</v>
      </c>
      <c r="X92" s="52">
        <v>634.87</v>
      </c>
      <c r="Y92" s="52">
        <v>286.88</v>
      </c>
      <c r="Z92" s="53">
        <f t="shared" si="47"/>
        <v>286.88</v>
      </c>
      <c r="AA92" s="53">
        <f t="shared" si="47"/>
        <v>286.88</v>
      </c>
    </row>
    <row r="93" spans="2:27" s="2" customFormat="1" ht="12.9" customHeight="1">
      <c r="B93" s="22" t="s">
        <v>95</v>
      </c>
      <c r="C93" s="16">
        <f t="shared" si="45"/>
        <v>32.96</v>
      </c>
      <c r="E93" s="22" t="s">
        <v>95</v>
      </c>
      <c r="F93" s="25">
        <f t="shared" si="46"/>
        <v>31.74</v>
      </c>
      <c r="G93" s="25">
        <f t="shared" si="46"/>
        <v>31.74</v>
      </c>
      <c r="H93" s="25">
        <f t="shared" si="46"/>
        <v>31.74</v>
      </c>
      <c r="I93" s="25">
        <f t="shared" si="46"/>
        <v>32.96</v>
      </c>
      <c r="J93" s="23">
        <f t="shared" si="48"/>
        <v>32.96</v>
      </c>
      <c r="K93" s="23">
        <f t="shared" si="48"/>
        <v>32.96</v>
      </c>
      <c r="L93" s="23">
        <f t="shared" si="48"/>
        <v>32.96</v>
      </c>
      <c r="M93" s="23">
        <f t="shared" si="48"/>
        <v>32.96</v>
      </c>
      <c r="N93" s="23">
        <f t="shared" si="48"/>
        <v>32.96</v>
      </c>
      <c r="O93" s="2" t="s">
        <v>149</v>
      </c>
      <c r="Q93" s="2" t="s">
        <v>133</v>
      </c>
      <c r="R93" s="2">
        <v>0</v>
      </c>
      <c r="S93" s="19">
        <v>269.62</v>
      </c>
      <c r="T93" s="26"/>
      <c r="U93" s="26"/>
      <c r="V93" s="19">
        <v>171.78</v>
      </c>
      <c r="W93" s="2">
        <v>0</v>
      </c>
      <c r="X93" s="54"/>
      <c r="Y93" s="54"/>
      <c r="Z93" s="53">
        <f>Z92</f>
        <v>286.88</v>
      </c>
      <c r="AA93" s="53">
        <f t="shared" ref="AA93" si="49">Z93</f>
        <v>286.88</v>
      </c>
    </row>
    <row r="94" spans="2:27" s="2" customFormat="1" ht="12.9" customHeight="1">
      <c r="B94" s="22" t="s">
        <v>46</v>
      </c>
      <c r="C94" s="16">
        <f t="shared" si="45"/>
        <v>729.14</v>
      </c>
      <c r="E94" s="22" t="s">
        <v>46</v>
      </c>
      <c r="F94" s="23">
        <f>+F58</f>
        <v>592.11</v>
      </c>
      <c r="G94" s="23">
        <f>+G58</f>
        <v>729.14</v>
      </c>
      <c r="H94" s="23">
        <f t="shared" ref="H94:N94" si="50">+H58</f>
        <v>729.14</v>
      </c>
      <c r="I94" s="23">
        <f t="shared" si="50"/>
        <v>729.14</v>
      </c>
      <c r="J94" s="23">
        <f t="shared" si="50"/>
        <v>729.14</v>
      </c>
      <c r="K94" s="23">
        <f t="shared" si="50"/>
        <v>729.14</v>
      </c>
      <c r="L94" s="23">
        <f t="shared" si="50"/>
        <v>729.14</v>
      </c>
      <c r="M94" s="55">
        <f t="shared" si="50"/>
        <v>873.38</v>
      </c>
      <c r="N94" s="55">
        <f t="shared" si="50"/>
        <v>873.38</v>
      </c>
      <c r="O94" s="2" t="s">
        <v>150</v>
      </c>
      <c r="Q94" s="2" t="s">
        <v>134</v>
      </c>
      <c r="R94" s="2">
        <v>0</v>
      </c>
      <c r="S94" s="19">
        <v>171.91</v>
      </c>
      <c r="T94" s="26"/>
      <c r="U94" s="26"/>
      <c r="V94" s="26"/>
      <c r="W94" s="2">
        <v>0</v>
      </c>
      <c r="X94" s="26"/>
      <c r="Y94" s="26"/>
      <c r="Z94" s="26"/>
      <c r="AA94" s="26"/>
    </row>
    <row r="95" spans="2:27" s="2" customFormat="1" ht="12.9" customHeight="1">
      <c r="B95" s="22" t="s">
        <v>48</v>
      </c>
      <c r="C95" s="16">
        <f t="shared" si="45"/>
        <v>756.22</v>
      </c>
      <c r="E95" s="22" t="s">
        <v>48</v>
      </c>
      <c r="F95" s="27">
        <v>740.23</v>
      </c>
      <c r="G95" s="56">
        <f>F95</f>
        <v>740.23</v>
      </c>
      <c r="H95" s="55">
        <f>+G95</f>
        <v>740.23</v>
      </c>
      <c r="I95" s="27">
        <v>756.22</v>
      </c>
      <c r="J95" s="23">
        <f t="shared" si="48"/>
        <v>756.22</v>
      </c>
      <c r="K95" s="23">
        <f t="shared" si="48"/>
        <v>756.22</v>
      </c>
      <c r="L95" s="23">
        <f t="shared" si="48"/>
        <v>756.22</v>
      </c>
      <c r="M95" s="57">
        <v>762.09</v>
      </c>
      <c r="N95" s="55">
        <f>O95</f>
        <v>808.69</v>
      </c>
      <c r="O95" s="19">
        <v>808.69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26"/>
    </row>
    <row r="96" spans="2:27" s="2" customFormat="1" ht="12.9" customHeight="1">
      <c r="B96" s="29" t="s">
        <v>49</v>
      </c>
      <c r="C96" s="16">
        <f t="shared" si="45"/>
        <v>680.59799999999996</v>
      </c>
      <c r="E96" s="29" t="s">
        <v>151</v>
      </c>
      <c r="F96" s="56">
        <f>0.9*F95</f>
        <v>666.20699999999999</v>
      </c>
      <c r="G96" s="56">
        <f>0.9*G95</f>
        <v>666.20699999999999</v>
      </c>
      <c r="H96" s="55">
        <f>+G96</f>
        <v>666.20699999999999</v>
      </c>
      <c r="I96" s="56">
        <f>0.9*I95</f>
        <v>680.59799999999996</v>
      </c>
      <c r="J96" s="55">
        <f t="shared" si="48"/>
        <v>680.59799999999996</v>
      </c>
      <c r="K96" s="55">
        <f t="shared" ref="K96" si="51">+J96</f>
        <v>680.59799999999996</v>
      </c>
      <c r="L96" s="55">
        <f t="shared" ref="L96" si="52">+K96</f>
        <v>680.59799999999996</v>
      </c>
      <c r="M96" s="56">
        <f>0.9*M95</f>
        <v>685.88099999999997</v>
      </c>
      <c r="N96" s="55">
        <f>O96</f>
        <v>727.82100000000003</v>
      </c>
      <c r="O96" s="58">
        <f>0.9*O95</f>
        <v>727.82100000000003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2:29" s="2" customFormat="1" ht="12.9" customHeight="1">
      <c r="B97" s="29" t="s">
        <v>98</v>
      </c>
      <c r="C97" s="16">
        <f t="shared" si="45"/>
        <v>0</v>
      </c>
      <c r="E97" s="29" t="s">
        <v>98</v>
      </c>
      <c r="F97" s="23"/>
      <c r="G97" s="23"/>
      <c r="H97" s="23"/>
      <c r="I97" s="23"/>
      <c r="J97" s="23"/>
      <c r="K97" s="23"/>
      <c r="L97" s="23"/>
      <c r="M97" s="23"/>
      <c r="N97" s="23"/>
      <c r="AB97" s="2" t="s">
        <v>152</v>
      </c>
    </row>
    <row r="98" spans="2:29" s="2" customFormat="1" ht="12.9" customHeight="1">
      <c r="B98" s="29" t="s">
        <v>52</v>
      </c>
      <c r="C98" s="16">
        <f t="shared" si="45"/>
        <v>96.53</v>
      </c>
      <c r="E98" s="29" t="s">
        <v>52</v>
      </c>
      <c r="F98" s="27">
        <v>96.53</v>
      </c>
      <c r="G98" s="23">
        <f>+F98</f>
        <v>96.53</v>
      </c>
      <c r="H98" s="23">
        <f t="shared" ref="H98:N98" si="53">+G98</f>
        <v>96.53</v>
      </c>
      <c r="I98" s="23">
        <f t="shared" si="53"/>
        <v>96.53</v>
      </c>
      <c r="J98" s="23">
        <f t="shared" si="53"/>
        <v>96.53</v>
      </c>
      <c r="K98" s="23">
        <f t="shared" si="53"/>
        <v>96.53</v>
      </c>
      <c r="L98" s="23">
        <f t="shared" si="53"/>
        <v>96.53</v>
      </c>
      <c r="M98" s="23">
        <f t="shared" si="53"/>
        <v>96.53</v>
      </c>
      <c r="N98" s="23">
        <f t="shared" si="53"/>
        <v>96.53</v>
      </c>
      <c r="AB98" s="19">
        <v>86.88</v>
      </c>
      <c r="AC98" s="2" t="s">
        <v>52</v>
      </c>
    </row>
    <row r="99" spans="2:29" s="2" customFormat="1" ht="12.9" customHeight="1">
      <c r="B99" s="29" t="s">
        <v>54</v>
      </c>
      <c r="C99" s="16">
        <f t="shared" si="45"/>
        <v>114.53</v>
      </c>
      <c r="E99" s="29" t="s">
        <v>54</v>
      </c>
      <c r="F99" s="27">
        <v>114.53</v>
      </c>
      <c r="G99" s="23">
        <f t="shared" ref="G99:N99" si="54">+F99</f>
        <v>114.53</v>
      </c>
      <c r="H99" s="23">
        <f t="shared" si="54"/>
        <v>114.53</v>
      </c>
      <c r="I99" s="23">
        <f t="shared" si="54"/>
        <v>114.53</v>
      </c>
      <c r="J99" s="23">
        <f t="shared" si="54"/>
        <v>114.53</v>
      </c>
      <c r="K99" s="23">
        <f t="shared" si="54"/>
        <v>114.53</v>
      </c>
      <c r="L99" s="23">
        <f t="shared" si="54"/>
        <v>114.53</v>
      </c>
      <c r="M99" s="23">
        <f t="shared" si="54"/>
        <v>114.53</v>
      </c>
      <c r="N99" s="23">
        <f t="shared" si="54"/>
        <v>114.53</v>
      </c>
      <c r="AB99" s="19">
        <v>103.08</v>
      </c>
      <c r="AC99" s="2" t="s">
        <v>54</v>
      </c>
    </row>
    <row r="100" spans="2:29" s="2" customFormat="1" ht="12.9" customHeight="1">
      <c r="B100" s="29" t="s">
        <v>56</v>
      </c>
      <c r="C100" s="16">
        <f t="shared" si="45"/>
        <v>143.72999999999999</v>
      </c>
      <c r="E100" s="29" t="s">
        <v>56</v>
      </c>
      <c r="F100" s="27">
        <v>143.72999999999999</v>
      </c>
      <c r="G100" s="23">
        <f t="shared" ref="G100:N100" si="55">+F100</f>
        <v>143.72999999999999</v>
      </c>
      <c r="H100" s="23">
        <f t="shared" si="55"/>
        <v>143.72999999999999</v>
      </c>
      <c r="I100" s="23">
        <f t="shared" si="55"/>
        <v>143.72999999999999</v>
      </c>
      <c r="J100" s="23">
        <f t="shared" si="55"/>
        <v>143.72999999999999</v>
      </c>
      <c r="K100" s="23">
        <f t="shared" si="55"/>
        <v>143.72999999999999</v>
      </c>
      <c r="L100" s="23">
        <f t="shared" si="55"/>
        <v>143.72999999999999</v>
      </c>
      <c r="M100" s="23">
        <f t="shared" si="55"/>
        <v>143.72999999999999</v>
      </c>
      <c r="N100" s="23">
        <f t="shared" si="55"/>
        <v>143.72999999999999</v>
      </c>
      <c r="AB100" s="19">
        <v>129.36000000000001</v>
      </c>
      <c r="AC100" s="2" t="s">
        <v>56</v>
      </c>
    </row>
    <row r="101" spans="2:29" s="2" customFormat="1" ht="12.9" customHeight="1">
      <c r="B101" s="29" t="s">
        <v>58</v>
      </c>
      <c r="C101" s="16">
        <f t="shared" si="45"/>
        <v>162.77000000000001</v>
      </c>
      <c r="E101" s="29" t="s">
        <v>58</v>
      </c>
      <c r="F101" s="27">
        <v>162.77000000000001</v>
      </c>
      <c r="G101" s="23">
        <f t="shared" ref="G101:N101" si="56">+F101</f>
        <v>162.77000000000001</v>
      </c>
      <c r="H101" s="23">
        <f t="shared" si="56"/>
        <v>162.77000000000001</v>
      </c>
      <c r="I101" s="23">
        <f t="shared" si="56"/>
        <v>162.77000000000001</v>
      </c>
      <c r="J101" s="23">
        <f t="shared" si="56"/>
        <v>162.77000000000001</v>
      </c>
      <c r="K101" s="23">
        <f t="shared" si="56"/>
        <v>162.77000000000001</v>
      </c>
      <c r="L101" s="23">
        <f t="shared" si="56"/>
        <v>162.77000000000001</v>
      </c>
      <c r="M101" s="23">
        <f t="shared" si="56"/>
        <v>162.77000000000001</v>
      </c>
      <c r="N101" s="23">
        <f t="shared" si="56"/>
        <v>162.77000000000001</v>
      </c>
      <c r="AB101" s="19">
        <v>146.49</v>
      </c>
      <c r="AC101" s="2" t="s">
        <v>58</v>
      </c>
    </row>
    <row r="102" spans="2:29" s="2" customFormat="1" ht="12.9" customHeight="1">
      <c r="B102" s="29" t="s">
        <v>60</v>
      </c>
      <c r="C102" s="16">
        <f t="shared" si="45"/>
        <v>60.09</v>
      </c>
      <c r="E102" s="29" t="s">
        <v>60</v>
      </c>
      <c r="F102" s="27">
        <v>60.09</v>
      </c>
      <c r="G102" s="23">
        <f t="shared" ref="G102:N102" si="57">+F102</f>
        <v>60.09</v>
      </c>
      <c r="H102" s="23">
        <f t="shared" si="57"/>
        <v>60.09</v>
      </c>
      <c r="I102" s="23">
        <f t="shared" si="57"/>
        <v>60.09</v>
      </c>
      <c r="J102" s="23">
        <f t="shared" si="57"/>
        <v>60.09</v>
      </c>
      <c r="K102" s="23">
        <f t="shared" si="57"/>
        <v>60.09</v>
      </c>
      <c r="L102" s="23">
        <f t="shared" si="57"/>
        <v>60.09</v>
      </c>
      <c r="M102" s="23">
        <f t="shared" si="57"/>
        <v>60.09</v>
      </c>
      <c r="N102" s="23">
        <f t="shared" si="57"/>
        <v>60.09</v>
      </c>
      <c r="AB102" s="19">
        <v>54.08</v>
      </c>
      <c r="AC102" s="2" t="s">
        <v>60</v>
      </c>
    </row>
    <row r="103" spans="2:29" s="2" customFormat="1" ht="12.9" customHeight="1">
      <c r="B103" s="29" t="s">
        <v>103</v>
      </c>
      <c r="C103" s="16">
        <f t="shared" si="45"/>
        <v>0</v>
      </c>
      <c r="E103" s="29" t="s">
        <v>103</v>
      </c>
      <c r="F103" s="23"/>
      <c r="G103" s="23">
        <f t="shared" ref="G103:M103" si="58">+F103</f>
        <v>0</v>
      </c>
      <c r="H103" s="23">
        <f t="shared" si="58"/>
        <v>0</v>
      </c>
      <c r="I103" s="23">
        <f t="shared" si="58"/>
        <v>0</v>
      </c>
      <c r="J103" s="23">
        <f t="shared" si="58"/>
        <v>0</v>
      </c>
      <c r="K103" s="23">
        <f t="shared" si="58"/>
        <v>0</v>
      </c>
      <c r="L103" s="23">
        <f t="shared" si="58"/>
        <v>0</v>
      </c>
      <c r="M103" s="23">
        <f t="shared" si="58"/>
        <v>0</v>
      </c>
      <c r="N103" s="23"/>
    </row>
    <row r="104" spans="2:29" s="2" customFormat="1" ht="12.9" customHeight="1">
      <c r="B104" s="29" t="s">
        <v>19</v>
      </c>
      <c r="C104" s="16">
        <f t="shared" si="45"/>
        <v>332.96</v>
      </c>
      <c r="E104" s="29" t="s">
        <v>19</v>
      </c>
      <c r="F104" s="30">
        <f>IF($C$1=F87,'Nómina mensual'!$D$29,0)</f>
        <v>0</v>
      </c>
      <c r="G104" s="30">
        <f>IF($C$1=G87,'Nómina mensual'!$D$29,0)</f>
        <v>0</v>
      </c>
      <c r="H104" s="30">
        <f>IF($C$1=H87,'Nómina mensual'!$D$29,0)</f>
        <v>0</v>
      </c>
      <c r="I104" s="30">
        <f>IF($C$1=I87,'Nómina mensual'!$D$29,0)</f>
        <v>332.96</v>
      </c>
      <c r="J104" s="30">
        <f>IF($C$1=J87,'Nómina mensual'!$D$29,0)</f>
        <v>0</v>
      </c>
      <c r="K104" s="30">
        <f>IF($C$1=K87,'Nómina mensual'!$D$29,0)</f>
        <v>0</v>
      </c>
      <c r="L104" s="30">
        <f>IF($C$1=L87,'Nómina mensual'!$D$29,0)</f>
        <v>0</v>
      </c>
      <c r="M104" s="30">
        <f>IF($C$1=M87,'Nómina mensual'!$D$29,0)</f>
        <v>0</v>
      </c>
      <c r="N104" s="23"/>
    </row>
    <row r="105" spans="2:29" s="2" customFormat="1" ht="12.9" customHeight="1">
      <c r="B105" s="31" t="s">
        <v>104</v>
      </c>
      <c r="C105" s="16">
        <f t="shared" si="45"/>
        <v>0</v>
      </c>
      <c r="E105" s="31" t="s">
        <v>104</v>
      </c>
      <c r="F105" s="23"/>
      <c r="G105" s="23"/>
      <c r="H105" s="23"/>
      <c r="I105" s="23"/>
      <c r="J105" s="23"/>
      <c r="K105" s="23"/>
      <c r="L105" s="23"/>
      <c r="M105" s="23"/>
      <c r="N105" s="23"/>
    </row>
    <row r="106" spans="2:29" s="2" customFormat="1" ht="12.9" customHeight="1">
      <c r="B106" s="31" t="s">
        <v>106</v>
      </c>
      <c r="C106" s="16">
        <f t="shared" si="45"/>
        <v>0</v>
      </c>
      <c r="E106" s="31" t="s">
        <v>106</v>
      </c>
      <c r="F106" s="23"/>
      <c r="G106" s="23"/>
      <c r="H106" s="23"/>
      <c r="I106" s="23"/>
      <c r="J106" s="23"/>
      <c r="K106" s="23"/>
      <c r="L106" s="23"/>
      <c r="M106" s="23"/>
      <c r="N106" s="23"/>
    </row>
    <row r="107" spans="2:29" s="2" customFormat="1" ht="12.9" customHeight="1">
      <c r="B107" s="31" t="s">
        <v>108</v>
      </c>
      <c r="C107" s="16">
        <f t="shared" si="45"/>
        <v>0</v>
      </c>
      <c r="E107" s="31" t="s">
        <v>108</v>
      </c>
      <c r="F107" s="23"/>
      <c r="G107" s="23"/>
      <c r="H107" s="23"/>
      <c r="I107" s="23"/>
      <c r="J107" s="23"/>
      <c r="K107" s="23"/>
      <c r="L107" s="23"/>
      <c r="M107" s="23"/>
      <c r="N107" s="23"/>
    </row>
    <row r="108" spans="2:29" s="2" customFormat="1" ht="12.9" customHeight="1">
      <c r="B108" s="33" t="s">
        <v>109</v>
      </c>
      <c r="C108" s="16">
        <f t="shared" si="45"/>
        <v>0</v>
      </c>
      <c r="E108" s="33" t="s">
        <v>109</v>
      </c>
      <c r="F108" s="27">
        <v>139.69999999999999</v>
      </c>
      <c r="G108" s="23"/>
      <c r="H108" s="23"/>
      <c r="I108" s="23"/>
      <c r="J108" s="23"/>
      <c r="K108" s="23"/>
      <c r="L108" s="23"/>
      <c r="M108" s="23"/>
      <c r="N108" s="23"/>
    </row>
    <row r="109" spans="2:29" s="2" customFormat="1" ht="12.9" customHeight="1">
      <c r="B109" s="34" t="s">
        <v>141</v>
      </c>
      <c r="C109" s="16">
        <f t="shared" si="45"/>
        <v>0</v>
      </c>
      <c r="E109" s="34" t="s">
        <v>153</v>
      </c>
      <c r="F109" s="23"/>
      <c r="G109" s="23"/>
      <c r="H109" s="23"/>
      <c r="I109" s="23"/>
      <c r="J109" s="23"/>
      <c r="K109" s="23"/>
      <c r="L109" s="23"/>
      <c r="M109" s="23"/>
      <c r="N109" s="23"/>
      <c r="O109" s="2" t="s">
        <v>154</v>
      </c>
    </row>
    <row r="110" spans="2:29" s="2" customFormat="1" ht="12.9" customHeight="1">
      <c r="B110" s="34" t="s">
        <v>113</v>
      </c>
      <c r="C110" s="16">
        <f t="shared" si="45"/>
        <v>0</v>
      </c>
      <c r="E110" s="34" t="s">
        <v>113</v>
      </c>
      <c r="F110" s="23">
        <f>O110/2</f>
        <v>0</v>
      </c>
      <c r="G110" s="23">
        <f t="shared" ref="G110" si="59">+F110</f>
        <v>0</v>
      </c>
      <c r="H110" s="23">
        <f t="shared" ref="H110" si="60">+G110</f>
        <v>0</v>
      </c>
      <c r="I110" s="23">
        <f t="shared" ref="I110" si="61">+H110</f>
        <v>0</v>
      </c>
      <c r="J110" s="23">
        <f t="shared" ref="J110" si="62">+I110</f>
        <v>0</v>
      </c>
      <c r="K110" s="23">
        <f t="shared" ref="K110" si="63">+J110</f>
        <v>0</v>
      </c>
      <c r="L110" s="23">
        <f t="shared" ref="L110" si="64">+K110</f>
        <v>0</v>
      </c>
      <c r="M110" s="23">
        <f t="shared" ref="M110" si="65">+L110</f>
        <v>0</v>
      </c>
      <c r="N110" s="23">
        <f t="shared" ref="N110" si="66">+M110</f>
        <v>0</v>
      </c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2:29" s="2" customFormat="1" ht="12.9" customHeight="1">
      <c r="B111" s="34" t="s">
        <v>115</v>
      </c>
      <c r="C111" s="16">
        <f t="shared" si="45"/>
        <v>0</v>
      </c>
      <c r="E111" s="34" t="s">
        <v>115</v>
      </c>
      <c r="F111" s="23"/>
      <c r="G111" s="23"/>
      <c r="H111" s="23"/>
      <c r="I111" s="23"/>
      <c r="J111" s="23"/>
      <c r="K111" s="23"/>
      <c r="L111" s="23"/>
      <c r="M111" s="23"/>
      <c r="N111" s="23"/>
    </row>
    <row r="112" spans="2:29" s="2" customFormat="1" ht="12.9" customHeight="1">
      <c r="B112" s="35" t="s">
        <v>117</v>
      </c>
      <c r="C112" s="16">
        <f t="shared" si="45"/>
        <v>0</v>
      </c>
      <c r="E112" s="35" t="s">
        <v>117</v>
      </c>
      <c r="F112" s="23"/>
      <c r="G112" s="23"/>
      <c r="H112" s="23"/>
      <c r="I112" s="23"/>
      <c r="J112" s="23"/>
      <c r="K112" s="23"/>
      <c r="L112" s="23"/>
      <c r="M112" s="23"/>
      <c r="N112" s="23"/>
    </row>
    <row r="113" spans="2:27" s="2" customFormat="1" ht="12.9" customHeight="1">
      <c r="B113" s="39" t="s">
        <v>119</v>
      </c>
      <c r="C113" s="16">
        <f t="shared" si="45"/>
        <v>-51.68</v>
      </c>
      <c r="E113" s="39" t="s">
        <v>119</v>
      </c>
      <c r="F113" s="50">
        <f>+F77</f>
        <v>-40.68</v>
      </c>
      <c r="G113" s="50">
        <f t="shared" ref="G113:N113" si="67">+G77</f>
        <v>-40.68</v>
      </c>
      <c r="H113" s="50">
        <f t="shared" si="67"/>
        <v>-40.68</v>
      </c>
      <c r="I113" s="50">
        <f t="shared" si="67"/>
        <v>-51.68</v>
      </c>
      <c r="J113" s="50">
        <f t="shared" si="67"/>
        <v>-51.68</v>
      </c>
      <c r="K113" s="50">
        <f t="shared" si="67"/>
        <v>-51.68</v>
      </c>
      <c r="L113" s="50">
        <f t="shared" si="67"/>
        <v>-51.68</v>
      </c>
      <c r="M113" s="50">
        <f t="shared" si="67"/>
        <v>-51.68</v>
      </c>
      <c r="N113" s="50">
        <f t="shared" si="67"/>
        <v>-51.68</v>
      </c>
    </row>
    <row r="114" spans="2:27" s="2" customFormat="1" ht="12.9" customHeight="1">
      <c r="B114" s="39" t="s">
        <v>121</v>
      </c>
      <c r="C114" s="16">
        <f t="shared" si="45"/>
        <v>118.04</v>
      </c>
      <c r="E114" s="39" t="s">
        <v>121</v>
      </c>
      <c r="F114" s="50">
        <f>+F78</f>
        <v>-92.9</v>
      </c>
      <c r="G114" s="50">
        <f t="shared" ref="G114:N114" si="68">+G78</f>
        <v>-92.9</v>
      </c>
      <c r="H114" s="50">
        <f t="shared" si="68"/>
        <v>-92.9</v>
      </c>
      <c r="I114" s="50">
        <f t="shared" si="68"/>
        <v>118.04</v>
      </c>
      <c r="J114" s="50">
        <f t="shared" si="68"/>
        <v>118.04</v>
      </c>
      <c r="K114" s="50">
        <f t="shared" si="68"/>
        <v>118.04</v>
      </c>
      <c r="L114" s="50">
        <f t="shared" si="68"/>
        <v>118.04</v>
      </c>
      <c r="M114" s="50">
        <f t="shared" si="68"/>
        <v>118.04</v>
      </c>
      <c r="N114" s="50">
        <f t="shared" si="68"/>
        <v>118.04</v>
      </c>
    </row>
    <row r="115" spans="2:27">
      <c r="B115" s="41" t="s">
        <v>80</v>
      </c>
      <c r="C115" s="16">
        <f t="shared" si="45"/>
        <v>44370.816000000006</v>
      </c>
      <c r="E115" s="42" t="s">
        <v>80</v>
      </c>
      <c r="F115" s="3">
        <f>((+F90+F94+F95)*12)+(F92*INT($C$3/3)*12)+((F91+F94)*2)+((F96)*2)+(F93*INT($C$3/3)*2)+(F104*14)+(IF($C$4="s",F108,0))+(IF($C$7="s",F103*12,0))+((F109*12)+(F110*2))+(F116*12)+F117*2</f>
        <v>35234.574000000001</v>
      </c>
      <c r="G115" s="3">
        <f>((+G90+G94+G95)*12)+(G92*INT($C$3/3)*12)+((G91+G94)*2)+((G96)*2)+(G93*INT($C$3/3)*2)+(G104*14)+(IF($C$4="SI",G108,0))+(IF($C$7="SI",G103*12,0))+((G109*12)+(G110*2))+(G116*12)+G117*2</f>
        <v>37152.993999999999</v>
      </c>
      <c r="H115" s="3">
        <f t="shared" ref="H115:I115" si="69">((+H90+H94+H95)*12)+(H92*INT($C$3/3)*12)+((H91+H94)*2)+((H96)*2)+(H93*INT($C$3/3)*2)+(H104*14)+(IF($C$4="s",H108,0))+(IF($C$7="s",H103*12,0))+((H109*12)+(H110*2))+(H116*12)+H117*2</f>
        <v>37152.993999999999</v>
      </c>
      <c r="I115" s="3">
        <f t="shared" si="69"/>
        <v>44370.816000000006</v>
      </c>
      <c r="J115" s="3">
        <f t="shared" ref="J115" si="70">((+J90+J94+J95)*12)+(J92*INT($C$3/3)*12)+((J91+J94)*2)+((J96)*2)+(J93*INT($C$3/3)*2)+(J104*14)+(IF($C$4="s",J108,0))+(IF($C$7="s",J103*12,0))+((J109*12)+(J110*2))+(J116*12)+J117*2</f>
        <v>39709.376000000004</v>
      </c>
      <c r="K115" s="3">
        <f t="shared" ref="K115" si="71">((+K90+K94+K95)*12)+(K92*INT($C$3/3)*12)+((K91+K94)*2)+((K96)*2)+(K93*INT($C$3/3)*2)+(K104*14)+(IF($C$4="s",K108,0))+(IF($C$7="s",K103*12,0))+((K109*12)+(K110*2))+(K116*12)+K117*2</f>
        <v>39709.376000000004</v>
      </c>
      <c r="L115" s="3">
        <f t="shared" ref="L115" si="72">((+L90+L94+L95)*12)+(L92*INT($C$3/3)*12)+((L91+L94)*2)+((L96)*2)+(L93*INT($C$3/3)*2)+(L104*14)+(IF($C$4="s",L108,0))+(IF($C$7="s",L103*12,0))+((L109*12)+(L110*2))+(L116*12)+L117*2</f>
        <v>39709.376000000004</v>
      </c>
      <c r="M115" s="3">
        <f t="shared" ref="M115" si="73">((+M90+M94+M95)*12)+(M92*INT($C$3/3)*12)+((M91+M94)*2)+((M96)*2)+(M93*INT($C$3/3)*2)+(M104*14)+(IF($C$4="s",M108,0))+(IF($C$7="s",M103*12,0))+((M109*12)+(M110*2))+(M116*12)+M117*2</f>
        <v>41809.742000000006</v>
      </c>
      <c r="N115" s="3">
        <f t="shared" ref="N115" si="74">((+N90+N94+N95)*12)+(N92*INT($C$3/3)*12)+((N91+N94)*2)+((N96)*2)+(N93*INT($C$3/3)*2)+(N104*14)+(IF($C$4="s",N108,0))+(IF($C$7="s",N103*12,0))+((N109*12)+(N110*2))+(N116*12)+N117*2</f>
        <v>42452.822</v>
      </c>
    </row>
    <row r="116" spans="2:27">
      <c r="E116" s="3" t="s">
        <v>155</v>
      </c>
      <c r="F116" s="3">
        <f>IF($C$3/6&gt;=5,SUM(F98:F102),IF($C$3/6&gt;=4,SUM(F98:F101),IF($C$3/6&gt;=3,SUM(F98:F100),IF($C$3/6&gt;=2,SUM(F98:F99),IF($C$3/6&gt;=1,F98,0)))))</f>
        <v>0</v>
      </c>
      <c r="G116" s="3">
        <f t="shared" ref="G116:N116" si="75">IF($C$3/6&gt;=5,SUM(G98:G102),IF($C$3/6&gt;=4,SUM(G99:G102),IF($C$3/6&gt;=3,SUM(G98:G100),IF($C$3/6&gt;=2,SUM(G98:G99),IF($C$3/6&gt;=1,G98,G97)))))</f>
        <v>0</v>
      </c>
      <c r="H116" s="3">
        <f t="shared" si="75"/>
        <v>0</v>
      </c>
      <c r="I116" s="3">
        <f t="shared" si="75"/>
        <v>0</v>
      </c>
      <c r="J116" s="3">
        <f t="shared" si="75"/>
        <v>0</v>
      </c>
      <c r="K116" s="3">
        <f t="shared" si="75"/>
        <v>0</v>
      </c>
      <c r="L116" s="3">
        <f t="shared" si="75"/>
        <v>0</v>
      </c>
      <c r="M116" s="3">
        <f t="shared" si="75"/>
        <v>0</v>
      </c>
      <c r="N116" s="3">
        <f t="shared" si="75"/>
        <v>0</v>
      </c>
    </row>
    <row r="117" spans="2:27">
      <c r="E117" s="3" t="s">
        <v>156</v>
      </c>
      <c r="F117" s="3">
        <f>IF($C$3/6&gt;=5,SUM($AB$98:$AB$102),IF($C$3/6&gt;=4,SUM($AB$98:$AB$101),IF($C$3/6&gt;=3,SUM($AB$98:$AB$100),IF($C$3/6&gt;=2,SUM($AB$98:$AB$99),IF($C$3/6&gt;=1,AB98,0)))))</f>
        <v>0</v>
      </c>
      <c r="G117" s="3">
        <f>IF($C$3/6&gt;=5,SUM($AB$98:$AB$102),IF($C$3/6&gt;=4,SUM($AB$98:$AB$101),IF($C$3/6&gt;=3,SUM($AB$98:$AB$100),IF($C$3/6&gt;=2,SUM($AB$98:$AB$99),IF($C$3/6&gt;=1,$AB$98,0)))))</f>
        <v>0</v>
      </c>
      <c r="H117" s="3">
        <f t="shared" ref="H117:N117" si="76">IF($C$3/6&gt;=5,SUM($AB$98:$AB$102),IF($C$3/6&gt;=4,SUM($AB$98:$AB$101),IF($C$3/6&gt;=3,SUM($AB$98:$AB$100),IF($C$3/6&gt;=2,SUM($AB$98:$AB$99),IF($C$3/6&gt;=1,$AB$98,0)))))</f>
        <v>0</v>
      </c>
      <c r="I117" s="3">
        <f t="shared" si="76"/>
        <v>0</v>
      </c>
      <c r="J117" s="3">
        <f t="shared" si="76"/>
        <v>0</v>
      </c>
      <c r="K117" s="3">
        <f t="shared" si="76"/>
        <v>0</v>
      </c>
      <c r="L117" s="3">
        <f t="shared" si="76"/>
        <v>0</v>
      </c>
      <c r="M117" s="3">
        <f t="shared" si="76"/>
        <v>0</v>
      </c>
      <c r="N117" s="3">
        <f t="shared" si="76"/>
        <v>0</v>
      </c>
    </row>
    <row r="122" spans="2:27" s="2" customFormat="1" ht="12.9" customHeight="1">
      <c r="B122" s="9"/>
      <c r="C122" s="2" t="str">
        <f>+E123</f>
        <v>Asturias</v>
      </c>
    </row>
    <row r="123" spans="2:27" s="2" customFormat="1" ht="35.25" customHeight="1">
      <c r="C123" s="10" t="str">
        <f>+$C$11</f>
        <v>590-Profesores Enseñanza Secundaria</v>
      </c>
      <c r="E123" s="11" t="s">
        <v>27</v>
      </c>
      <c r="F123" s="12" t="s">
        <v>120</v>
      </c>
      <c r="G123" s="12" t="s">
        <v>110</v>
      </c>
      <c r="H123" s="12" t="s">
        <v>118</v>
      </c>
      <c r="I123" s="12" t="s">
        <v>4</v>
      </c>
      <c r="J123" s="12" t="s">
        <v>112</v>
      </c>
      <c r="K123" s="12" t="s">
        <v>114</v>
      </c>
      <c r="L123" s="12" t="s">
        <v>116</v>
      </c>
      <c r="M123" s="12" t="s">
        <v>107</v>
      </c>
      <c r="N123" s="12" t="s">
        <v>105</v>
      </c>
      <c r="O123" s="13" t="s">
        <v>157</v>
      </c>
      <c r="P123" s="13"/>
      <c r="Q123" s="14" t="s">
        <v>137</v>
      </c>
      <c r="R123" s="14"/>
      <c r="S123" s="13"/>
      <c r="T123" s="13"/>
      <c r="U123" s="13"/>
      <c r="V123" s="13"/>
      <c r="W123" s="14" t="s">
        <v>138</v>
      </c>
      <c r="X123" s="13"/>
      <c r="Y123" s="13"/>
    </row>
    <row r="124" spans="2:27" s="2" customFormat="1" ht="12.9" customHeight="1">
      <c r="B124" s="44" t="s">
        <v>91</v>
      </c>
      <c r="C124" s="16" t="str">
        <f t="shared" ref="C124:C151" si="77">IF($C$11=$F$11,F124,IF($C$11=G$11,G124,IF($C$11=H$11,H124,IF($C$11=I$11,I124,IF($C$11=J$11,J124,IF($C$11=K$11,K124,IF($C$11=L$11,L124,IF($C$11=M$11,M124,N124))))))))</f>
        <v>A1</v>
      </c>
      <c r="E124" s="45" t="s">
        <v>91</v>
      </c>
      <c r="F124" s="17" t="s">
        <v>137</v>
      </c>
      <c r="G124" s="17" t="s">
        <v>137</v>
      </c>
      <c r="H124" s="17" t="s">
        <v>137</v>
      </c>
      <c r="I124" s="17" t="s">
        <v>138</v>
      </c>
      <c r="J124" s="17" t="s">
        <v>138</v>
      </c>
      <c r="K124" s="17" t="s">
        <v>138</v>
      </c>
      <c r="L124" s="17" t="s">
        <v>138</v>
      </c>
      <c r="M124" s="17" t="s">
        <v>138</v>
      </c>
      <c r="N124" s="17" t="s">
        <v>138</v>
      </c>
      <c r="R124" s="2" t="s">
        <v>20</v>
      </c>
      <c r="S124" s="2" t="s">
        <v>123</v>
      </c>
      <c r="T124" s="2" t="s">
        <v>126</v>
      </c>
      <c r="U124" s="2" t="s">
        <v>129</v>
      </c>
      <c r="V124" s="2" t="s">
        <v>130</v>
      </c>
      <c r="W124" s="2" t="s">
        <v>20</v>
      </c>
      <c r="X124" s="2" t="s">
        <v>123</v>
      </c>
      <c r="Y124" s="2" t="s">
        <v>126</v>
      </c>
      <c r="Z124" s="2" t="s">
        <v>129</v>
      </c>
      <c r="AA124" s="2" t="s">
        <v>130</v>
      </c>
    </row>
    <row r="125" spans="2:27" s="2" customFormat="1" ht="12.9" customHeight="1">
      <c r="B125" s="44" t="str">
        <f>+E125</f>
        <v>Nivel</v>
      </c>
      <c r="C125" s="16">
        <f t="shared" si="77"/>
        <v>24</v>
      </c>
      <c r="E125" s="45" t="s">
        <v>144</v>
      </c>
      <c r="F125" s="17">
        <v>21</v>
      </c>
      <c r="G125" s="17">
        <v>24</v>
      </c>
      <c r="H125" s="17">
        <v>24</v>
      </c>
      <c r="I125" s="17">
        <v>24</v>
      </c>
      <c r="J125" s="17">
        <v>24</v>
      </c>
      <c r="K125" s="17">
        <v>24</v>
      </c>
      <c r="L125" s="17">
        <v>24</v>
      </c>
      <c r="M125" s="17">
        <v>26</v>
      </c>
      <c r="N125" s="17">
        <v>26</v>
      </c>
      <c r="Q125" s="2" t="s">
        <v>124</v>
      </c>
      <c r="R125" s="2">
        <v>0</v>
      </c>
      <c r="S125" s="19">
        <v>665.59</v>
      </c>
      <c r="T125" s="19"/>
      <c r="U125" s="19">
        <v>276.41000000000003</v>
      </c>
      <c r="V125" s="59">
        <f>U125</f>
        <v>276.41000000000003</v>
      </c>
      <c r="W125" s="2">
        <v>0</v>
      </c>
      <c r="X125" s="19">
        <v>808.85</v>
      </c>
      <c r="Y125" s="19"/>
      <c r="Z125" s="19">
        <v>424.37</v>
      </c>
      <c r="AA125" s="59">
        <f>Z125</f>
        <v>424.37</v>
      </c>
    </row>
    <row r="126" spans="2:27" s="2" customFormat="1" ht="12.9" customHeight="1">
      <c r="B126" s="22" t="s">
        <v>43</v>
      </c>
      <c r="C126" s="16">
        <f t="shared" si="77"/>
        <v>1387.24</v>
      </c>
      <c r="E126" s="22" t="s">
        <v>43</v>
      </c>
      <c r="F126" s="23">
        <f t="shared" ref="F126:I129" si="78">+F54</f>
        <v>1199.52</v>
      </c>
      <c r="G126" s="23">
        <f t="shared" si="78"/>
        <v>1199.52</v>
      </c>
      <c r="H126" s="23">
        <f t="shared" si="78"/>
        <v>1199.52</v>
      </c>
      <c r="I126" s="23">
        <f t="shared" si="78"/>
        <v>1387.24</v>
      </c>
      <c r="J126" s="23">
        <f>+I126</f>
        <v>1387.24</v>
      </c>
      <c r="K126" s="23">
        <f>+J126</f>
        <v>1387.24</v>
      </c>
      <c r="L126" s="23">
        <f>+K126</f>
        <v>1387.24</v>
      </c>
      <c r="M126" s="23">
        <f>+L126</f>
        <v>1387.24</v>
      </c>
      <c r="N126" s="23">
        <f>+M126</f>
        <v>1387.24</v>
      </c>
      <c r="Q126" s="2" t="s">
        <v>127</v>
      </c>
      <c r="R126" s="2">
        <v>0</v>
      </c>
      <c r="S126" s="19">
        <v>603.92999999999995</v>
      </c>
      <c r="T126" s="19"/>
      <c r="U126" s="19">
        <v>262.76</v>
      </c>
      <c r="V126" s="59">
        <f>U126</f>
        <v>262.76</v>
      </c>
      <c r="W126" s="2">
        <v>0</v>
      </c>
      <c r="X126" s="19">
        <v>698.77</v>
      </c>
      <c r="Y126" s="19"/>
      <c r="Z126" s="19">
        <v>417.52</v>
      </c>
      <c r="AA126" s="59">
        <f>Z126</f>
        <v>417.52</v>
      </c>
    </row>
    <row r="127" spans="2:27" s="2" customFormat="1" ht="12.9" customHeight="1">
      <c r="B127" s="22" t="s">
        <v>92</v>
      </c>
      <c r="C127" s="16">
        <f t="shared" si="77"/>
        <v>856.05</v>
      </c>
      <c r="E127" s="22" t="s">
        <v>92</v>
      </c>
      <c r="F127" s="25">
        <f t="shared" si="78"/>
        <v>874.83</v>
      </c>
      <c r="G127" s="25">
        <f t="shared" si="78"/>
        <v>874.83</v>
      </c>
      <c r="H127" s="25">
        <f t="shared" si="78"/>
        <v>874.83</v>
      </c>
      <c r="I127" s="25">
        <f t="shared" si="78"/>
        <v>856.05</v>
      </c>
      <c r="J127" s="23">
        <f t="shared" ref="J127:N131" si="79">+I127</f>
        <v>856.05</v>
      </c>
      <c r="K127" s="23">
        <f t="shared" si="79"/>
        <v>856.05</v>
      </c>
      <c r="L127" s="23">
        <f t="shared" si="79"/>
        <v>856.05</v>
      </c>
      <c r="M127" s="23">
        <f t="shared" si="79"/>
        <v>856.05</v>
      </c>
      <c r="N127" s="23">
        <f t="shared" si="79"/>
        <v>856.05</v>
      </c>
      <c r="Q127" s="2" t="s">
        <v>22</v>
      </c>
      <c r="R127" s="2">
        <v>0</v>
      </c>
      <c r="S127" s="19">
        <v>441.18</v>
      </c>
      <c r="T127" s="19"/>
      <c r="U127" s="19">
        <v>255.97</v>
      </c>
      <c r="V127" s="59">
        <f>U127</f>
        <v>255.97</v>
      </c>
      <c r="W127" s="2">
        <v>0</v>
      </c>
      <c r="X127" s="19">
        <v>633.94000000000005</v>
      </c>
      <c r="Y127" s="19"/>
      <c r="Z127" s="19">
        <v>303.18</v>
      </c>
      <c r="AA127" s="59">
        <f>Z127</f>
        <v>303.18</v>
      </c>
    </row>
    <row r="128" spans="2:27" s="2" customFormat="1" ht="12.9" customHeight="1">
      <c r="B128" s="22" t="s">
        <v>93</v>
      </c>
      <c r="C128" s="16">
        <f t="shared" si="77"/>
        <v>53.39</v>
      </c>
      <c r="E128" s="22" t="s">
        <v>93</v>
      </c>
      <c r="F128" s="23">
        <f t="shared" si="78"/>
        <v>43.54</v>
      </c>
      <c r="G128" s="23">
        <f t="shared" si="78"/>
        <v>43.54</v>
      </c>
      <c r="H128" s="23">
        <f t="shared" si="78"/>
        <v>43.54</v>
      </c>
      <c r="I128" s="23">
        <f t="shared" si="78"/>
        <v>53.39</v>
      </c>
      <c r="J128" s="23">
        <f t="shared" si="79"/>
        <v>53.39</v>
      </c>
      <c r="K128" s="23">
        <f t="shared" si="79"/>
        <v>53.39</v>
      </c>
      <c r="L128" s="23">
        <f t="shared" si="79"/>
        <v>53.39</v>
      </c>
      <c r="M128" s="23">
        <f t="shared" si="79"/>
        <v>53.39</v>
      </c>
      <c r="N128" s="23">
        <f t="shared" si="79"/>
        <v>53.39</v>
      </c>
      <c r="Q128" s="2" t="s">
        <v>131</v>
      </c>
      <c r="R128" s="2">
        <v>0</v>
      </c>
      <c r="S128" s="19">
        <v>330.12</v>
      </c>
      <c r="T128" s="19"/>
      <c r="U128" s="19"/>
      <c r="V128" s="19">
        <v>188.85</v>
      </c>
      <c r="W128" s="2">
        <v>0</v>
      </c>
      <c r="X128" s="19"/>
      <c r="Y128" s="19"/>
      <c r="Z128" s="19"/>
      <c r="AA128" s="19"/>
    </row>
    <row r="129" spans="2:27" s="2" customFormat="1" ht="12.9" customHeight="1">
      <c r="B129" s="22" t="s">
        <v>95</v>
      </c>
      <c r="C129" s="16">
        <f t="shared" si="77"/>
        <v>32.96</v>
      </c>
      <c r="E129" s="22" t="s">
        <v>95</v>
      </c>
      <c r="F129" s="25">
        <f t="shared" si="78"/>
        <v>31.74</v>
      </c>
      <c r="G129" s="25">
        <f t="shared" si="78"/>
        <v>31.74</v>
      </c>
      <c r="H129" s="25">
        <f t="shared" si="78"/>
        <v>31.74</v>
      </c>
      <c r="I129" s="25">
        <f t="shared" si="78"/>
        <v>32.96</v>
      </c>
      <c r="J129" s="23">
        <f t="shared" si="79"/>
        <v>32.96</v>
      </c>
      <c r="K129" s="23">
        <f t="shared" si="79"/>
        <v>32.96</v>
      </c>
      <c r="L129" s="23">
        <f t="shared" si="79"/>
        <v>32.96</v>
      </c>
      <c r="M129" s="23">
        <f t="shared" si="79"/>
        <v>32.96</v>
      </c>
      <c r="N129" s="23">
        <f t="shared" si="79"/>
        <v>32.96</v>
      </c>
      <c r="Q129" s="2" t="s">
        <v>133</v>
      </c>
      <c r="R129" s="2">
        <v>0</v>
      </c>
      <c r="S129" s="26"/>
      <c r="T129" s="26"/>
      <c r="U129" s="26"/>
      <c r="V129" s="26"/>
      <c r="W129" s="2">
        <v>0</v>
      </c>
      <c r="X129" s="26"/>
      <c r="Y129" s="26"/>
      <c r="Z129" s="26"/>
      <c r="AA129" s="26"/>
    </row>
    <row r="130" spans="2:27" s="2" customFormat="1" ht="12.9" customHeight="1">
      <c r="B130" s="22" t="s">
        <v>46</v>
      </c>
      <c r="C130" s="16">
        <f t="shared" si="77"/>
        <v>736.54</v>
      </c>
      <c r="E130" s="22" t="s">
        <v>46</v>
      </c>
      <c r="F130" s="27">
        <v>598.09</v>
      </c>
      <c r="G130" s="27">
        <v>736.54</v>
      </c>
      <c r="H130" s="23">
        <f>+G130</f>
        <v>736.54</v>
      </c>
      <c r="I130" s="23">
        <f>+H130</f>
        <v>736.54</v>
      </c>
      <c r="J130" s="23">
        <f t="shared" si="79"/>
        <v>736.54</v>
      </c>
      <c r="K130" s="23">
        <f t="shared" si="79"/>
        <v>736.54</v>
      </c>
      <c r="L130" s="23">
        <f t="shared" si="79"/>
        <v>736.54</v>
      </c>
      <c r="M130" s="27">
        <v>882.19</v>
      </c>
      <c r="N130" s="27">
        <f>M130</f>
        <v>882.19</v>
      </c>
      <c r="Q130" s="2" t="s">
        <v>134</v>
      </c>
      <c r="R130" s="2">
        <v>0</v>
      </c>
      <c r="S130" s="26"/>
      <c r="T130" s="26"/>
      <c r="U130" s="26"/>
      <c r="V130" s="26"/>
      <c r="W130" s="2">
        <v>0</v>
      </c>
      <c r="X130" s="26"/>
      <c r="Y130" s="26"/>
      <c r="Z130" s="26"/>
      <c r="AA130" s="26"/>
    </row>
    <row r="131" spans="2:27" s="2" customFormat="1" ht="12.9" customHeight="1">
      <c r="B131" s="22" t="s">
        <v>48</v>
      </c>
      <c r="C131" s="16">
        <f t="shared" si="77"/>
        <v>708.37</v>
      </c>
      <c r="E131" s="22" t="s">
        <v>48</v>
      </c>
      <c r="F131" s="27">
        <v>708.37</v>
      </c>
      <c r="G131" s="23">
        <f>+F131</f>
        <v>708.37</v>
      </c>
      <c r="H131" s="23">
        <f>+G131</f>
        <v>708.37</v>
      </c>
      <c r="I131" s="23">
        <f>+H131</f>
        <v>708.37</v>
      </c>
      <c r="J131" s="23">
        <f t="shared" si="79"/>
        <v>708.37</v>
      </c>
      <c r="K131" s="23">
        <f t="shared" si="79"/>
        <v>708.37</v>
      </c>
      <c r="L131" s="23">
        <f t="shared" si="79"/>
        <v>708.37</v>
      </c>
      <c r="M131" s="27">
        <v>770.9</v>
      </c>
      <c r="N131" s="30">
        <f>Q132+R132</f>
        <v>1725.48</v>
      </c>
      <c r="O131" s="47" t="s">
        <v>158</v>
      </c>
      <c r="P131" s="47" t="s">
        <v>159</v>
      </c>
      <c r="Q131" s="47" t="s">
        <v>160</v>
      </c>
      <c r="R131" s="47" t="s">
        <v>161</v>
      </c>
    </row>
    <row r="132" spans="2:27" s="2" customFormat="1" ht="12.9" customHeight="1">
      <c r="B132" s="29" t="s">
        <v>49</v>
      </c>
      <c r="C132" s="16">
        <f t="shared" si="77"/>
        <v>0</v>
      </c>
      <c r="E132" s="29" t="s">
        <v>49</v>
      </c>
      <c r="F132" s="25"/>
      <c r="G132" s="25"/>
      <c r="H132" s="25"/>
      <c r="I132" s="25"/>
      <c r="J132" s="25"/>
      <c r="K132" s="25"/>
      <c r="L132" s="25"/>
      <c r="M132" s="25"/>
      <c r="N132" s="25"/>
      <c r="O132" s="60"/>
      <c r="P132" s="60"/>
      <c r="Q132" s="61">
        <v>805.93</v>
      </c>
      <c r="R132" s="61">
        <v>919.55</v>
      </c>
    </row>
    <row r="133" spans="2:27" s="2" customFormat="1" ht="12.9" customHeight="1">
      <c r="B133" s="29" t="s">
        <v>98</v>
      </c>
      <c r="C133" s="16">
        <f t="shared" ca="1" si="77"/>
        <v>113.85</v>
      </c>
      <c r="E133" s="29" t="s">
        <v>98</v>
      </c>
      <c r="F133" s="62">
        <f ca="1">IF(TODAY()&gt;DATE(2026,9,1),P133,O133)</f>
        <v>113.85</v>
      </c>
      <c r="G133" s="23">
        <f ca="1">+F133</f>
        <v>113.85</v>
      </c>
      <c r="H133" s="23">
        <f t="shared" ref="H133:N133" ca="1" si="80">+G133</f>
        <v>113.85</v>
      </c>
      <c r="I133" s="23">
        <f t="shared" ca="1" si="80"/>
        <v>113.85</v>
      </c>
      <c r="J133" s="23">
        <f t="shared" ca="1" si="80"/>
        <v>113.85</v>
      </c>
      <c r="K133" s="23">
        <f t="shared" ca="1" si="80"/>
        <v>113.85</v>
      </c>
      <c r="L133" s="23">
        <f t="shared" ca="1" si="80"/>
        <v>113.85</v>
      </c>
      <c r="M133" s="23">
        <f t="shared" ca="1" si="80"/>
        <v>113.85</v>
      </c>
      <c r="N133" s="63">
        <f t="shared" ca="1" si="80"/>
        <v>113.85</v>
      </c>
      <c r="O133" s="64">
        <v>43.85</v>
      </c>
      <c r="P133" s="64">
        <v>113.85</v>
      </c>
    </row>
    <row r="134" spans="2:27" s="2" customFormat="1" ht="12.9" customHeight="1">
      <c r="B134" s="29" t="s">
        <v>52</v>
      </c>
      <c r="C134" s="16">
        <f t="shared" si="77"/>
        <v>120.17</v>
      </c>
      <c r="E134" s="29" t="s">
        <v>52</v>
      </c>
      <c r="F134" s="27">
        <v>120.17</v>
      </c>
      <c r="G134" s="23">
        <f>+F134</f>
        <v>120.17</v>
      </c>
      <c r="H134" s="23">
        <f t="shared" ref="H134:N134" si="81">+G134</f>
        <v>120.17</v>
      </c>
      <c r="I134" s="23">
        <f t="shared" si="81"/>
        <v>120.17</v>
      </c>
      <c r="J134" s="23">
        <f t="shared" si="81"/>
        <v>120.17</v>
      </c>
      <c r="K134" s="23">
        <f t="shared" si="81"/>
        <v>120.17</v>
      </c>
      <c r="L134" s="23">
        <f t="shared" si="81"/>
        <v>120.17</v>
      </c>
      <c r="M134" s="23">
        <f t="shared" si="81"/>
        <v>120.17</v>
      </c>
      <c r="N134" s="63">
        <f t="shared" si="81"/>
        <v>120.17</v>
      </c>
      <c r="O134" s="65"/>
      <c r="P134" s="66">
        <v>46266</v>
      </c>
    </row>
    <row r="135" spans="2:27" s="2" customFormat="1" ht="12.9" customHeight="1">
      <c r="B135" s="29" t="s">
        <v>54</v>
      </c>
      <c r="C135" s="16">
        <f t="shared" si="77"/>
        <v>88.42</v>
      </c>
      <c r="E135" s="29" t="s">
        <v>54</v>
      </c>
      <c r="F135" s="27">
        <v>88.42</v>
      </c>
      <c r="G135" s="23">
        <f t="shared" ref="G135:N135" si="82">+F135</f>
        <v>88.42</v>
      </c>
      <c r="H135" s="23">
        <f t="shared" si="82"/>
        <v>88.42</v>
      </c>
      <c r="I135" s="23">
        <f t="shared" si="82"/>
        <v>88.42</v>
      </c>
      <c r="J135" s="23">
        <f t="shared" si="82"/>
        <v>88.42</v>
      </c>
      <c r="K135" s="23">
        <f t="shared" si="82"/>
        <v>88.42</v>
      </c>
      <c r="L135" s="23">
        <f t="shared" si="82"/>
        <v>88.42</v>
      </c>
      <c r="M135" s="23">
        <f t="shared" si="82"/>
        <v>88.42</v>
      </c>
      <c r="N135" s="23">
        <f t="shared" si="82"/>
        <v>88.42</v>
      </c>
    </row>
    <row r="136" spans="2:27" s="2" customFormat="1" ht="12.9" customHeight="1">
      <c r="B136" s="29" t="s">
        <v>56</v>
      </c>
      <c r="C136" s="16">
        <f t="shared" si="77"/>
        <v>117.87</v>
      </c>
      <c r="E136" s="29" t="s">
        <v>56</v>
      </c>
      <c r="F136" s="27">
        <v>117.87</v>
      </c>
      <c r="G136" s="23">
        <f t="shared" ref="G136:N136" si="83">+F136</f>
        <v>117.87</v>
      </c>
      <c r="H136" s="23">
        <f t="shared" si="83"/>
        <v>117.87</v>
      </c>
      <c r="I136" s="23">
        <f t="shared" si="83"/>
        <v>117.87</v>
      </c>
      <c r="J136" s="23">
        <f t="shared" si="83"/>
        <v>117.87</v>
      </c>
      <c r="K136" s="23">
        <f t="shared" si="83"/>
        <v>117.87</v>
      </c>
      <c r="L136" s="23">
        <f t="shared" si="83"/>
        <v>117.87</v>
      </c>
      <c r="M136" s="23">
        <f t="shared" si="83"/>
        <v>117.87</v>
      </c>
      <c r="N136" s="23">
        <f t="shared" si="83"/>
        <v>117.87</v>
      </c>
    </row>
    <row r="137" spans="2:27" s="2" customFormat="1" ht="12.9" customHeight="1">
      <c r="B137" s="29" t="s">
        <v>58</v>
      </c>
      <c r="C137" s="16">
        <f t="shared" si="77"/>
        <v>161.35</v>
      </c>
      <c r="E137" s="29" t="s">
        <v>58</v>
      </c>
      <c r="F137" s="27">
        <v>161.35</v>
      </c>
      <c r="G137" s="23">
        <f t="shared" ref="G137:N137" si="84">+F137</f>
        <v>161.35</v>
      </c>
      <c r="H137" s="23">
        <f t="shared" si="84"/>
        <v>161.35</v>
      </c>
      <c r="I137" s="23">
        <f t="shared" si="84"/>
        <v>161.35</v>
      </c>
      <c r="J137" s="23">
        <f t="shared" si="84"/>
        <v>161.35</v>
      </c>
      <c r="K137" s="23">
        <f t="shared" si="84"/>
        <v>161.35</v>
      </c>
      <c r="L137" s="23">
        <f t="shared" si="84"/>
        <v>161.35</v>
      </c>
      <c r="M137" s="23">
        <f t="shared" si="84"/>
        <v>161.35</v>
      </c>
      <c r="N137" s="23">
        <f t="shared" si="84"/>
        <v>161.35</v>
      </c>
    </row>
    <row r="138" spans="2:27" s="2" customFormat="1" ht="12.9" customHeight="1">
      <c r="B138" s="29" t="s">
        <v>60</v>
      </c>
      <c r="C138" s="16">
        <f t="shared" si="77"/>
        <v>47.46</v>
      </c>
      <c r="E138" s="29" t="s">
        <v>60</v>
      </c>
      <c r="F138" s="27">
        <v>47.46</v>
      </c>
      <c r="G138" s="23">
        <f t="shared" ref="G138:N138" si="85">+F138</f>
        <v>47.46</v>
      </c>
      <c r="H138" s="23">
        <f t="shared" si="85"/>
        <v>47.46</v>
      </c>
      <c r="I138" s="23">
        <f t="shared" si="85"/>
        <v>47.46</v>
      </c>
      <c r="J138" s="23">
        <f t="shared" si="85"/>
        <v>47.46</v>
      </c>
      <c r="K138" s="23">
        <f t="shared" si="85"/>
        <v>47.46</v>
      </c>
      <c r="L138" s="23">
        <f t="shared" si="85"/>
        <v>47.46</v>
      </c>
      <c r="M138" s="23">
        <f t="shared" si="85"/>
        <v>47.46</v>
      </c>
      <c r="N138" s="23">
        <f t="shared" si="85"/>
        <v>47.46</v>
      </c>
    </row>
    <row r="139" spans="2:27" s="2" customFormat="1" ht="12.9" customHeight="1">
      <c r="B139" s="29" t="s">
        <v>103</v>
      </c>
      <c r="C139" s="16">
        <f t="shared" si="77"/>
        <v>0</v>
      </c>
      <c r="E139" s="29" t="s">
        <v>103</v>
      </c>
      <c r="F139" s="23"/>
      <c r="G139" s="23">
        <f t="shared" ref="G139:M139" si="86">+F139</f>
        <v>0</v>
      </c>
      <c r="H139" s="23">
        <f t="shared" si="86"/>
        <v>0</v>
      </c>
      <c r="I139" s="23">
        <f t="shared" si="86"/>
        <v>0</v>
      </c>
      <c r="J139" s="23">
        <f t="shared" si="86"/>
        <v>0</v>
      </c>
      <c r="K139" s="23">
        <f t="shared" si="86"/>
        <v>0</v>
      </c>
      <c r="L139" s="23">
        <f t="shared" si="86"/>
        <v>0</v>
      </c>
      <c r="M139" s="23">
        <f t="shared" si="86"/>
        <v>0</v>
      </c>
      <c r="N139" s="23"/>
    </row>
    <row r="140" spans="2:27" s="2" customFormat="1" ht="12.9" customHeight="1">
      <c r="B140" s="29" t="s">
        <v>19</v>
      </c>
      <c r="C140" s="16">
        <f t="shared" si="77"/>
        <v>0</v>
      </c>
      <c r="E140" s="29" t="s">
        <v>19</v>
      </c>
      <c r="F140" s="30">
        <f>IF($C$1=F123,'Nómina mensual'!$E$29,0)</f>
        <v>0</v>
      </c>
      <c r="G140" s="30">
        <f>IF($C$1=G123,'Nómina mensual'!$E$29,0)</f>
        <v>0</v>
      </c>
      <c r="H140" s="30">
        <f>IF($C$1=H123,'Nómina mensual'!$E$29,0)</f>
        <v>0</v>
      </c>
      <c r="I140" s="30">
        <f>IF($C$1=I123,'Nómina mensual'!$E$29,0)</f>
        <v>0</v>
      </c>
      <c r="J140" s="30">
        <f>IF($C$1=J123,'Nómina mensual'!$E$29,0)</f>
        <v>0</v>
      </c>
      <c r="K140" s="30">
        <f>IF($C$1=K123,'Nómina mensual'!$E$29,0)</f>
        <v>0</v>
      </c>
      <c r="L140" s="30">
        <f>IF($C$1=L123,'Nómina mensual'!$E$29,0)</f>
        <v>0</v>
      </c>
      <c r="M140" s="30">
        <f>IF($C$1=M123,'Nómina mensual'!$E$29,0)</f>
        <v>0</v>
      </c>
      <c r="N140" s="23"/>
    </row>
    <row r="141" spans="2:27" s="2" customFormat="1" ht="12.9" customHeight="1">
      <c r="B141" s="31" t="s">
        <v>104</v>
      </c>
      <c r="C141" s="16">
        <v>0</v>
      </c>
      <c r="E141" s="67" t="s">
        <v>162</v>
      </c>
      <c r="F141" s="68">
        <f ca="1">IF(INT($C$3/6)&gt;=5,SUM(F134:F138),IF(INT($C$3/6)&gt;=4,SUM(F134:F137),IF(INT($C$3/6)&gt;=3,SUM(F134:F136),IF(INT($C$3/6)&gt;=2,SUM(F134:F135),IF(INT($C$3/6)&gt;=1,F134,F133)))))</f>
        <v>113.85</v>
      </c>
      <c r="G141" s="68">
        <f t="shared" ref="G141:N141" ca="1" si="87">IF(INT($C$3/6)&gt;=5,SUM(G134:G138),IF(INT($C$3/6)&gt;=4,SUM(G134:G137),IF(INT($C$3/6)&gt;=3,SUM(G134:G136),IF(INT($C$3/6)&gt;=2,SUM(G134:G135),IF(INT($C$3/6)&gt;=1,G134,G133)))))</f>
        <v>113.85</v>
      </c>
      <c r="H141" s="68">
        <f t="shared" ca="1" si="87"/>
        <v>113.85</v>
      </c>
      <c r="I141" s="68">
        <f t="shared" ca="1" si="87"/>
        <v>113.85</v>
      </c>
      <c r="J141" s="68">
        <f t="shared" ca="1" si="87"/>
        <v>113.85</v>
      </c>
      <c r="K141" s="68">
        <f t="shared" ca="1" si="87"/>
        <v>113.85</v>
      </c>
      <c r="L141" s="68">
        <f t="shared" ca="1" si="87"/>
        <v>113.85</v>
      </c>
      <c r="M141" s="68">
        <f t="shared" ca="1" si="87"/>
        <v>113.85</v>
      </c>
      <c r="N141" s="68">
        <f t="shared" ca="1" si="87"/>
        <v>113.85</v>
      </c>
    </row>
    <row r="142" spans="2:27" s="2" customFormat="1" ht="12.9" customHeight="1">
      <c r="B142" s="31" t="s">
        <v>106</v>
      </c>
      <c r="C142" s="16">
        <f t="shared" si="77"/>
        <v>0</v>
      </c>
      <c r="E142" s="31" t="s">
        <v>106</v>
      </c>
      <c r="F142" s="23"/>
      <c r="G142" s="23"/>
      <c r="H142" s="23"/>
      <c r="I142" s="23"/>
      <c r="J142" s="23"/>
      <c r="K142" s="23"/>
      <c r="L142" s="23"/>
      <c r="M142" s="23"/>
      <c r="N142" s="23"/>
    </row>
    <row r="143" spans="2:27" s="2" customFormat="1" ht="12.9" customHeight="1">
      <c r="B143" s="31" t="s">
        <v>108</v>
      </c>
      <c r="C143" s="16">
        <f t="shared" si="77"/>
        <v>0</v>
      </c>
      <c r="E143" s="31" t="s">
        <v>108</v>
      </c>
      <c r="F143" s="23"/>
      <c r="G143" s="23"/>
      <c r="H143" s="23"/>
      <c r="I143" s="23"/>
      <c r="J143" s="23"/>
      <c r="K143" s="23"/>
      <c r="L143" s="23"/>
      <c r="M143" s="23"/>
      <c r="N143" s="23"/>
    </row>
    <row r="144" spans="2:27" s="2" customFormat="1" ht="12.9" customHeight="1">
      <c r="B144" s="33" t="s">
        <v>109</v>
      </c>
      <c r="C144" s="16">
        <f t="shared" si="77"/>
        <v>0</v>
      </c>
      <c r="E144" s="33" t="s">
        <v>109</v>
      </c>
      <c r="F144" s="27">
        <v>138.44999999999999</v>
      </c>
      <c r="G144" s="23"/>
      <c r="H144" s="23"/>
      <c r="I144" s="23"/>
      <c r="J144" s="23"/>
      <c r="K144" s="23"/>
      <c r="L144" s="23"/>
      <c r="M144" s="23"/>
      <c r="N144" s="23"/>
    </row>
    <row r="145" spans="2:27" s="2" customFormat="1" ht="12.9" customHeight="1">
      <c r="B145" s="34" t="s">
        <v>163</v>
      </c>
      <c r="C145" s="16">
        <f>IF(AND($C$3&gt;5,$C$3&lt;11,$C$123=$F$123),F145,IF(AND($C$3&gt;5,$C$3&lt;11,$C$123=$G$123),G145,IF(AND($C$3&gt;5,$C$3&lt;11,$C$123=$H$123),H145,IF(AND($C$3&gt;5,$C$3&lt;11,$C$123=$I$123),I145,IF(AND($C$3&gt;5,$C$3&lt;11,$C$123=$J$123),J145,IF(AND($C$3&gt;5,$C$3&lt;11,$C$123=$K$123),K145,IF(AND($C$3&gt;5,$C$3&lt;11,$C$123=$L$123),L145,IF(AND($C$3&gt;5,$C$3&lt;11,$C$123=$M$123),M145,IF(AND($C$3&gt;5,$C$3&lt;11,$C$123=$N$123),N145,0)))))))))</f>
        <v>0</v>
      </c>
      <c r="E145" s="34" t="s">
        <v>164</v>
      </c>
      <c r="F145" s="27">
        <v>164.68</v>
      </c>
      <c r="G145" s="25">
        <f>+F145</f>
        <v>164.68</v>
      </c>
      <c r="H145" s="25">
        <f t="shared" ref="H145:N145" si="88">+G145</f>
        <v>164.68</v>
      </c>
      <c r="I145" s="27">
        <v>257.3</v>
      </c>
      <c r="J145" s="25">
        <f t="shared" si="88"/>
        <v>257.3</v>
      </c>
      <c r="K145" s="25">
        <f t="shared" si="88"/>
        <v>257.3</v>
      </c>
      <c r="L145" s="25">
        <f t="shared" si="88"/>
        <v>257.3</v>
      </c>
      <c r="M145" s="25">
        <f t="shared" si="88"/>
        <v>257.3</v>
      </c>
      <c r="N145" s="25">
        <f t="shared" si="88"/>
        <v>257.3</v>
      </c>
      <c r="O145" s="2" t="s">
        <v>165</v>
      </c>
    </row>
    <row r="146" spans="2:27" s="2" customFormat="1" ht="12.9" customHeight="1">
      <c r="B146" s="34" t="s">
        <v>166</v>
      </c>
      <c r="C146" s="16">
        <f>IF(AND($C$3&gt;10,$C$123=$F$123),F146,IF(AND($C$3&gt;10,$C$123=$G$123),G146,IF(AND($C$3&gt;10,$C$123=$H$123),H146,IF(AND($C$3&gt;10,$C$123=$I$123),I146,IF(AND($C$3&gt;10,$C$123=$J$123),J146,IF(AND($C$3&gt;10,$C$123=$K$123),K146,IF(AND($C$3&gt;10,$C$123=$L$123),L146,IF(AND($C$3&gt;10,$C$123=$M$123),M146,IF(AND($C$3&gt;10,$C$123=$N$123),N146,0)))))))))</f>
        <v>0</v>
      </c>
      <c r="E146" s="34" t="s">
        <v>167</v>
      </c>
      <c r="F146" s="23">
        <f>F145*2</f>
        <v>329.36</v>
      </c>
      <c r="G146" s="23">
        <f t="shared" ref="G146:N146" si="89">G145*2</f>
        <v>329.36</v>
      </c>
      <c r="H146" s="23">
        <f t="shared" si="89"/>
        <v>329.36</v>
      </c>
      <c r="I146" s="23">
        <f t="shared" si="89"/>
        <v>514.6</v>
      </c>
      <c r="J146" s="23">
        <f t="shared" si="89"/>
        <v>514.6</v>
      </c>
      <c r="K146" s="23">
        <f t="shared" si="89"/>
        <v>514.6</v>
      </c>
      <c r="L146" s="23">
        <f t="shared" si="89"/>
        <v>514.6</v>
      </c>
      <c r="M146" s="23">
        <f t="shared" si="89"/>
        <v>514.6</v>
      </c>
      <c r="N146" s="23">
        <f t="shared" si="89"/>
        <v>514.6</v>
      </c>
      <c r="O146" s="2" t="s">
        <v>168</v>
      </c>
    </row>
    <row r="147" spans="2:27" s="2" customFormat="1" ht="12.9" customHeight="1">
      <c r="B147" s="34" t="s">
        <v>115</v>
      </c>
      <c r="C147" s="16">
        <f t="shared" si="77"/>
        <v>0</v>
      </c>
      <c r="E147" s="34" t="s">
        <v>115</v>
      </c>
      <c r="F147" s="23"/>
      <c r="G147" s="23"/>
      <c r="H147" s="23"/>
      <c r="I147" s="23"/>
      <c r="J147" s="23"/>
      <c r="K147" s="23"/>
      <c r="L147" s="23"/>
      <c r="M147" s="23"/>
      <c r="N147" s="23"/>
    </row>
    <row r="148" spans="2:27" s="2" customFormat="1" ht="12.9" customHeight="1">
      <c r="B148" s="35" t="s">
        <v>117</v>
      </c>
      <c r="C148" s="16">
        <f t="shared" si="77"/>
        <v>0</v>
      </c>
      <c r="E148" s="35" t="s">
        <v>117</v>
      </c>
      <c r="F148" s="23"/>
      <c r="G148" s="23"/>
      <c r="H148" s="23"/>
      <c r="I148" s="23"/>
      <c r="J148" s="23"/>
      <c r="K148" s="23"/>
      <c r="L148" s="23"/>
      <c r="M148" s="23"/>
      <c r="N148" s="23"/>
    </row>
    <row r="149" spans="2:27" s="2" customFormat="1" ht="12.9" customHeight="1">
      <c r="B149" s="39" t="s">
        <v>119</v>
      </c>
      <c r="C149" s="16">
        <f t="shared" si="77"/>
        <v>-51.68</v>
      </c>
      <c r="E149" s="39" t="s">
        <v>119</v>
      </c>
      <c r="F149" s="50">
        <f>+F77</f>
        <v>-40.68</v>
      </c>
      <c r="G149" s="50">
        <f t="shared" ref="G149:N149" si="90">+G77</f>
        <v>-40.68</v>
      </c>
      <c r="H149" s="50">
        <f t="shared" si="90"/>
        <v>-40.68</v>
      </c>
      <c r="I149" s="50">
        <f t="shared" si="90"/>
        <v>-51.68</v>
      </c>
      <c r="J149" s="50">
        <f t="shared" si="90"/>
        <v>-51.68</v>
      </c>
      <c r="K149" s="50">
        <f t="shared" si="90"/>
        <v>-51.68</v>
      </c>
      <c r="L149" s="50">
        <f t="shared" si="90"/>
        <v>-51.68</v>
      </c>
      <c r="M149" s="50">
        <f t="shared" si="90"/>
        <v>-51.68</v>
      </c>
      <c r="N149" s="50">
        <f t="shared" si="90"/>
        <v>-51.68</v>
      </c>
    </row>
    <row r="150" spans="2:27" s="2" customFormat="1" ht="12.9" customHeight="1">
      <c r="B150" s="39" t="s">
        <v>121</v>
      </c>
      <c r="C150" s="16">
        <f t="shared" si="77"/>
        <v>118.04</v>
      </c>
      <c r="E150" s="39" t="s">
        <v>121</v>
      </c>
      <c r="F150" s="50">
        <f>+F78</f>
        <v>-92.9</v>
      </c>
      <c r="G150" s="50">
        <f t="shared" ref="G150:N150" si="91">+G78</f>
        <v>-92.9</v>
      </c>
      <c r="H150" s="50">
        <f t="shared" si="91"/>
        <v>-92.9</v>
      </c>
      <c r="I150" s="50">
        <f t="shared" si="91"/>
        <v>118.04</v>
      </c>
      <c r="J150" s="50">
        <f t="shared" si="91"/>
        <v>118.04</v>
      </c>
      <c r="K150" s="50">
        <f t="shared" si="91"/>
        <v>118.04</v>
      </c>
      <c r="L150" s="50">
        <f t="shared" si="91"/>
        <v>118.04</v>
      </c>
      <c r="M150" s="50">
        <f t="shared" si="91"/>
        <v>118.04</v>
      </c>
      <c r="N150" s="50">
        <f t="shared" si="91"/>
        <v>118.04</v>
      </c>
    </row>
    <row r="151" spans="2:27">
      <c r="B151" s="41" t="s">
        <v>80</v>
      </c>
      <c r="C151" s="16">
        <f t="shared" ca="1" si="77"/>
        <v>43975.819999999992</v>
      </c>
      <c r="E151" s="42" t="s">
        <v>80</v>
      </c>
      <c r="F151" s="69">
        <f t="shared" ref="F151:N151" ca="1" si="92">((+F126+F130+F131)*12)+(F128*INT($C$3/3)*12)+((F127+F130+F131)*2)+(F132*14)+(F140*14)+(F129*INT($C$3/3)*2)+(IF($C$4="SI",F144*12,0))+(F141*14)+(IF($C$3&gt;=10,F146*12,IF($C$3&gt;=5,F145*12,0)))</f>
        <v>38590.360000000008</v>
      </c>
      <c r="G151" s="69">
        <f t="shared" ca="1" si="92"/>
        <v>40528.660000000003</v>
      </c>
      <c r="H151" s="69">
        <f t="shared" ca="1" si="92"/>
        <v>40528.660000000003</v>
      </c>
      <c r="I151" s="69">
        <f t="shared" ca="1" si="92"/>
        <v>43975.819999999992</v>
      </c>
      <c r="J151" s="69">
        <f t="shared" ca="1" si="92"/>
        <v>43975.819999999992</v>
      </c>
      <c r="K151" s="69">
        <f t="shared" ca="1" si="92"/>
        <v>43975.819999999992</v>
      </c>
      <c r="L151" s="69">
        <f t="shared" ca="1" si="92"/>
        <v>43975.819999999992</v>
      </c>
      <c r="M151" s="69">
        <f t="shared" ca="1" si="92"/>
        <v>46890.340000000004</v>
      </c>
      <c r="N151" s="69">
        <f t="shared" ca="1" si="92"/>
        <v>60254.460000000006</v>
      </c>
    </row>
    <row r="158" spans="2:27" s="2" customFormat="1" ht="12.9" customHeight="1">
      <c r="B158" s="9"/>
      <c r="C158" s="2" t="str">
        <f>+E159</f>
        <v>Baleares</v>
      </c>
      <c r="E158" s="3"/>
    </row>
    <row r="159" spans="2:27" s="2" customFormat="1" ht="35.25" customHeight="1">
      <c r="C159" s="10" t="str">
        <f>+$C$11</f>
        <v>590-Profesores Enseñanza Secundaria</v>
      </c>
      <c r="E159" s="11" t="s">
        <v>13</v>
      </c>
      <c r="F159" s="12" t="s">
        <v>120</v>
      </c>
      <c r="G159" s="12" t="s">
        <v>110</v>
      </c>
      <c r="H159" s="12" t="s">
        <v>118</v>
      </c>
      <c r="I159" s="12" t="s">
        <v>4</v>
      </c>
      <c r="J159" s="12" t="s">
        <v>112</v>
      </c>
      <c r="K159" s="12" t="s">
        <v>114</v>
      </c>
      <c r="L159" s="12" t="s">
        <v>116</v>
      </c>
      <c r="M159" s="12" t="s">
        <v>107</v>
      </c>
      <c r="N159" s="12" t="s">
        <v>105</v>
      </c>
      <c r="O159" s="13" t="s">
        <v>169</v>
      </c>
      <c r="Q159" s="14" t="s">
        <v>137</v>
      </c>
      <c r="R159" s="14"/>
      <c r="S159" s="13"/>
      <c r="T159" s="13"/>
      <c r="U159" s="13"/>
      <c r="V159" s="13"/>
      <c r="W159" s="43" t="s">
        <v>138</v>
      </c>
      <c r="X159" s="13"/>
      <c r="Y159" s="13"/>
    </row>
    <row r="160" spans="2:27" s="2" customFormat="1" ht="12.9" customHeight="1">
      <c r="B160" s="44" t="s">
        <v>91</v>
      </c>
      <c r="C160" s="16" t="str">
        <f t="shared" ref="C160:C187" si="93">IF($C$11=$F$11,F160,IF($C$11=G$11,G160,IF($C$11=H$11,H160,IF($C$11=I$11,I160,IF($C$11=J$11,J160,IF($C$11=K$11,K160,IF($C$11=L$11,L160,IF($C$11=M$11,M160,N160))))))))</f>
        <v>A1</v>
      </c>
      <c r="E160" s="45" t="s">
        <v>91</v>
      </c>
      <c r="F160" s="17" t="s">
        <v>137</v>
      </c>
      <c r="G160" s="17" t="s">
        <v>137</v>
      </c>
      <c r="H160" s="17" t="s">
        <v>137</v>
      </c>
      <c r="I160" s="17" t="s">
        <v>138</v>
      </c>
      <c r="J160" s="17" t="s">
        <v>138</v>
      </c>
      <c r="K160" s="17" t="s">
        <v>138</v>
      </c>
      <c r="L160" s="17" t="s">
        <v>138</v>
      </c>
      <c r="M160" s="17" t="s">
        <v>138</v>
      </c>
      <c r="N160" s="17" t="s">
        <v>138</v>
      </c>
      <c r="R160" s="2" t="s">
        <v>20</v>
      </c>
      <c r="S160" s="2" t="s">
        <v>123</v>
      </c>
      <c r="T160" s="2" t="s">
        <v>126</v>
      </c>
      <c r="U160" s="2" t="s">
        <v>129</v>
      </c>
      <c r="V160" s="2" t="s">
        <v>130</v>
      </c>
      <c r="W160" s="2" t="s">
        <v>20</v>
      </c>
      <c r="X160" s="2" t="s">
        <v>123</v>
      </c>
      <c r="Y160" s="2" t="s">
        <v>126</v>
      </c>
      <c r="Z160" s="2" t="s">
        <v>129</v>
      </c>
      <c r="AA160" s="2" t="s">
        <v>130</v>
      </c>
    </row>
    <row r="161" spans="2:30" s="2" customFormat="1" ht="12.9" customHeight="1">
      <c r="B161" s="44" t="str">
        <f>+E161</f>
        <v>Nivel</v>
      </c>
      <c r="C161" s="16">
        <f t="shared" si="93"/>
        <v>24</v>
      </c>
      <c r="E161" s="45" t="s">
        <v>144</v>
      </c>
      <c r="F161" s="17">
        <v>21</v>
      </c>
      <c r="G161" s="17">
        <v>24</v>
      </c>
      <c r="H161" s="17">
        <v>24</v>
      </c>
      <c r="I161" s="17">
        <v>24</v>
      </c>
      <c r="J161" s="17">
        <v>24</v>
      </c>
      <c r="K161" s="17">
        <v>24</v>
      </c>
      <c r="L161" s="17">
        <v>24</v>
      </c>
      <c r="M161" s="17">
        <v>26</v>
      </c>
      <c r="N161" s="17">
        <v>26</v>
      </c>
      <c r="Q161" s="2" t="s">
        <v>124</v>
      </c>
      <c r="R161" s="2">
        <v>0</v>
      </c>
      <c r="S161" s="19"/>
      <c r="T161" s="19"/>
      <c r="U161" s="19"/>
      <c r="V161" s="19"/>
      <c r="W161" s="2">
        <v>0</v>
      </c>
      <c r="X161" s="19">
        <v>848.3</v>
      </c>
      <c r="Y161" s="19"/>
      <c r="Z161" s="19">
        <v>414.65</v>
      </c>
      <c r="AA161" s="43">
        <f>Z161</f>
        <v>414.65</v>
      </c>
    </row>
    <row r="162" spans="2:30" s="2" customFormat="1" ht="12.9" customHeight="1">
      <c r="B162" s="22" t="s">
        <v>43</v>
      </c>
      <c r="C162" s="16">
        <f t="shared" si="93"/>
        <v>1387.24</v>
      </c>
      <c r="E162" s="22" t="s">
        <v>43</v>
      </c>
      <c r="F162" s="23">
        <f t="shared" ref="F162:I165" si="94">+F54</f>
        <v>1199.52</v>
      </c>
      <c r="G162" s="23">
        <f t="shared" si="94"/>
        <v>1199.52</v>
      </c>
      <c r="H162" s="23">
        <f t="shared" si="94"/>
        <v>1199.52</v>
      </c>
      <c r="I162" s="23">
        <f t="shared" si="94"/>
        <v>1387.24</v>
      </c>
      <c r="J162" s="23">
        <f t="shared" ref="J162:N165" si="95">+I162</f>
        <v>1387.24</v>
      </c>
      <c r="K162" s="23">
        <f t="shared" si="95"/>
        <v>1387.24</v>
      </c>
      <c r="L162" s="23">
        <f t="shared" si="95"/>
        <v>1387.24</v>
      </c>
      <c r="M162" s="23">
        <f t="shared" si="95"/>
        <v>1387.24</v>
      </c>
      <c r="N162" s="23">
        <f t="shared" si="95"/>
        <v>1387.24</v>
      </c>
      <c r="Q162" s="2" t="s">
        <v>127</v>
      </c>
      <c r="R162" s="2">
        <v>0</v>
      </c>
      <c r="S162" s="19">
        <v>648.44000000000005</v>
      </c>
      <c r="T162" s="19"/>
      <c r="U162" s="19">
        <v>281.51</v>
      </c>
      <c r="V162" s="43">
        <f>U162</f>
        <v>281.51</v>
      </c>
      <c r="W162" s="2">
        <v>0</v>
      </c>
      <c r="X162" s="19">
        <v>740.95</v>
      </c>
      <c r="Y162" s="19"/>
      <c r="Z162" s="19">
        <v>408.06</v>
      </c>
      <c r="AA162" s="43">
        <f>Z162</f>
        <v>408.06</v>
      </c>
    </row>
    <row r="163" spans="2:30" s="2" customFormat="1" ht="12.9" customHeight="1">
      <c r="B163" s="22" t="s">
        <v>92</v>
      </c>
      <c r="C163" s="16">
        <f t="shared" si="93"/>
        <v>856.05</v>
      </c>
      <c r="E163" s="22" t="s">
        <v>92</v>
      </c>
      <c r="F163" s="25">
        <f t="shared" si="94"/>
        <v>874.83</v>
      </c>
      <c r="G163" s="25">
        <f t="shared" si="94"/>
        <v>874.83</v>
      </c>
      <c r="H163" s="25">
        <f t="shared" si="94"/>
        <v>874.83</v>
      </c>
      <c r="I163" s="25">
        <f t="shared" si="94"/>
        <v>856.05</v>
      </c>
      <c r="J163" s="23">
        <f t="shared" si="95"/>
        <v>856.05</v>
      </c>
      <c r="K163" s="23">
        <f t="shared" si="95"/>
        <v>856.05</v>
      </c>
      <c r="L163" s="23">
        <f t="shared" si="95"/>
        <v>856.05</v>
      </c>
      <c r="M163" s="23">
        <f t="shared" si="95"/>
        <v>856.05</v>
      </c>
      <c r="N163" s="23">
        <f t="shared" si="95"/>
        <v>856.05</v>
      </c>
      <c r="Q163" s="2" t="s">
        <v>22</v>
      </c>
      <c r="R163" s="2">
        <v>0</v>
      </c>
      <c r="S163" s="19">
        <v>477.4</v>
      </c>
      <c r="T163" s="19"/>
      <c r="U163" s="19">
        <v>262.54000000000002</v>
      </c>
      <c r="V163" s="43">
        <f>U163</f>
        <v>262.54000000000002</v>
      </c>
      <c r="W163" s="2">
        <v>0</v>
      </c>
      <c r="X163" s="19">
        <v>665.41</v>
      </c>
      <c r="Y163" s="19"/>
      <c r="Z163" s="19">
        <v>302.49</v>
      </c>
      <c r="AA163" s="43">
        <f>Z163</f>
        <v>302.49</v>
      </c>
    </row>
    <row r="164" spans="2:30" s="2" customFormat="1" ht="12.9" customHeight="1">
      <c r="B164" s="22" t="s">
        <v>93</v>
      </c>
      <c r="C164" s="16">
        <f t="shared" si="93"/>
        <v>53.39</v>
      </c>
      <c r="E164" s="22" t="s">
        <v>93</v>
      </c>
      <c r="F164" s="23">
        <f t="shared" si="94"/>
        <v>43.54</v>
      </c>
      <c r="G164" s="23">
        <f t="shared" si="94"/>
        <v>43.54</v>
      </c>
      <c r="H164" s="23">
        <f t="shared" si="94"/>
        <v>43.54</v>
      </c>
      <c r="I164" s="23">
        <f t="shared" si="94"/>
        <v>53.39</v>
      </c>
      <c r="J164" s="23">
        <f t="shared" si="95"/>
        <v>53.39</v>
      </c>
      <c r="K164" s="23">
        <f t="shared" si="95"/>
        <v>53.39</v>
      </c>
      <c r="L164" s="23">
        <f t="shared" si="95"/>
        <v>53.39</v>
      </c>
      <c r="M164" s="23">
        <f t="shared" si="95"/>
        <v>53.39</v>
      </c>
      <c r="N164" s="23">
        <f t="shared" si="95"/>
        <v>53.39</v>
      </c>
      <c r="Q164" s="2" t="s">
        <v>131</v>
      </c>
      <c r="R164" s="2">
        <v>0</v>
      </c>
      <c r="S164" s="19">
        <v>356.72</v>
      </c>
      <c r="T164" s="19"/>
      <c r="U164" s="19">
        <v>196.93</v>
      </c>
      <c r="V164" s="43">
        <f>U164</f>
        <v>196.93</v>
      </c>
      <c r="W164" s="2">
        <v>0</v>
      </c>
      <c r="X164" s="19">
        <v>595.9</v>
      </c>
      <c r="Y164" s="19"/>
      <c r="Z164" s="19">
        <v>256.83</v>
      </c>
      <c r="AA164" s="43">
        <f>Z164</f>
        <v>256.83</v>
      </c>
    </row>
    <row r="165" spans="2:30" s="2" customFormat="1" ht="12.9" customHeight="1">
      <c r="B165" s="22" t="s">
        <v>95</v>
      </c>
      <c r="C165" s="16">
        <f t="shared" si="93"/>
        <v>32.96</v>
      </c>
      <c r="E165" s="22" t="s">
        <v>95</v>
      </c>
      <c r="F165" s="25">
        <f t="shared" si="94"/>
        <v>31.74</v>
      </c>
      <c r="G165" s="25">
        <f t="shared" si="94"/>
        <v>31.74</v>
      </c>
      <c r="H165" s="25">
        <f t="shared" si="94"/>
        <v>31.74</v>
      </c>
      <c r="I165" s="25">
        <f t="shared" si="94"/>
        <v>32.96</v>
      </c>
      <c r="J165" s="23">
        <f t="shared" si="95"/>
        <v>32.96</v>
      </c>
      <c r="K165" s="23">
        <f t="shared" si="95"/>
        <v>32.96</v>
      </c>
      <c r="L165" s="23">
        <f t="shared" si="95"/>
        <v>32.96</v>
      </c>
      <c r="M165" s="23">
        <f t="shared" si="95"/>
        <v>32.96</v>
      </c>
      <c r="N165" s="23">
        <f t="shared" si="95"/>
        <v>32.96</v>
      </c>
      <c r="Q165" s="2" t="s">
        <v>133</v>
      </c>
      <c r="R165" s="2">
        <v>0</v>
      </c>
      <c r="S165" s="19">
        <v>218.35</v>
      </c>
      <c r="T165" s="26"/>
      <c r="U165" s="26"/>
      <c r="V165" s="19">
        <v>145.88</v>
      </c>
      <c r="W165" s="2">
        <v>0</v>
      </c>
      <c r="X165" s="26"/>
      <c r="Y165" s="26"/>
      <c r="Z165" s="19">
        <v>207.48</v>
      </c>
      <c r="AA165" s="26"/>
    </row>
    <row r="166" spans="2:30" s="2" customFormat="1" ht="12.9" customHeight="1">
      <c r="B166" s="22" t="s">
        <v>46</v>
      </c>
      <c r="C166" s="16">
        <f t="shared" si="93"/>
        <v>718.36</v>
      </c>
      <c r="E166" s="22" t="s">
        <v>46</v>
      </c>
      <c r="F166" s="27">
        <v>583.36</v>
      </c>
      <c r="G166" s="27">
        <v>718.36</v>
      </c>
      <c r="H166" s="23">
        <f>G166</f>
        <v>718.36</v>
      </c>
      <c r="I166" s="23">
        <f>G166</f>
        <v>718.36</v>
      </c>
      <c r="J166" s="23">
        <f>G166</f>
        <v>718.36</v>
      </c>
      <c r="K166" s="23">
        <f>G166</f>
        <v>718.36</v>
      </c>
      <c r="L166" s="23">
        <f>G166</f>
        <v>718.36</v>
      </c>
      <c r="M166" s="27">
        <v>860.47</v>
      </c>
      <c r="N166" s="30">
        <f>M166</f>
        <v>860.47</v>
      </c>
      <c r="O166" s="19">
        <v>546.11</v>
      </c>
      <c r="P166" s="2" t="s">
        <v>170</v>
      </c>
      <c r="Q166" s="2" t="s">
        <v>134</v>
      </c>
      <c r="R166" s="2">
        <v>0</v>
      </c>
      <c r="S166" s="19">
        <v>105.63</v>
      </c>
      <c r="T166" s="26"/>
      <c r="U166" s="26"/>
      <c r="V166" s="26"/>
      <c r="W166" s="2">
        <v>0</v>
      </c>
      <c r="X166" s="26"/>
      <c r="Y166" s="26"/>
      <c r="Z166" s="19"/>
      <c r="AA166" s="26"/>
    </row>
    <row r="167" spans="2:30" s="2" customFormat="1" ht="12.9" customHeight="1">
      <c r="B167" s="22" t="s">
        <v>48</v>
      </c>
      <c r="C167" s="16">
        <f t="shared" si="93"/>
        <v>450.98</v>
      </c>
      <c r="E167" s="22" t="s">
        <v>48</v>
      </c>
      <c r="F167" s="27">
        <v>450.98</v>
      </c>
      <c r="G167" s="23">
        <f t="shared" ref="G167:L167" si="96">+F167</f>
        <v>450.98</v>
      </c>
      <c r="H167" s="23">
        <f t="shared" si="96"/>
        <v>450.98</v>
      </c>
      <c r="I167" s="23">
        <f t="shared" si="96"/>
        <v>450.98</v>
      </c>
      <c r="J167" s="23">
        <f t="shared" si="96"/>
        <v>450.98</v>
      </c>
      <c r="K167" s="23">
        <f t="shared" si="96"/>
        <v>450.98</v>
      </c>
      <c r="L167" s="23">
        <f t="shared" si="96"/>
        <v>450.98</v>
      </c>
      <c r="M167" s="27">
        <v>511.94</v>
      </c>
      <c r="N167" s="30">
        <f>O167+O166</f>
        <v>1525.57</v>
      </c>
      <c r="O167" s="19">
        <v>979.46</v>
      </c>
      <c r="P167" s="2" t="s">
        <v>171</v>
      </c>
      <c r="Z167" s="2" t="s">
        <v>172</v>
      </c>
      <c r="AA167" s="19">
        <v>429.57</v>
      </c>
      <c r="AB167" s="2" t="s">
        <v>173</v>
      </c>
      <c r="AC167" s="2" t="s">
        <v>138</v>
      </c>
    </row>
    <row r="168" spans="2:30" s="2" customFormat="1" ht="12.9" customHeight="1">
      <c r="B168" s="29" t="s">
        <v>174</v>
      </c>
      <c r="C168" s="16">
        <f t="shared" si="93"/>
        <v>429.57</v>
      </c>
      <c r="E168" s="29" t="s">
        <v>175</v>
      </c>
      <c r="F168" s="23">
        <f t="shared" ref="F168:N168" si="97">IF($C$2="Carrera",IF($C$3&gt;=30,$AA$174,IF($C$3&gt;=24,$AA$173,IF($C$3&gt;=18,$AA$172,IF($C$3&gt;=12,$AA$171,IF($C$3&gt;=6,$AA$170,IF($C$3&gt;=1,$AA$169,$AA$168)))))),$AA$168)</f>
        <v>429.57</v>
      </c>
      <c r="G168" s="23">
        <f t="shared" si="97"/>
        <v>429.57</v>
      </c>
      <c r="H168" s="23">
        <f t="shared" si="97"/>
        <v>429.57</v>
      </c>
      <c r="I168" s="23">
        <f t="shared" si="97"/>
        <v>429.57</v>
      </c>
      <c r="J168" s="23">
        <f t="shared" si="97"/>
        <v>429.57</v>
      </c>
      <c r="K168" s="23">
        <f t="shared" si="97"/>
        <v>429.57</v>
      </c>
      <c r="L168" s="23">
        <f t="shared" si="97"/>
        <v>429.57</v>
      </c>
      <c r="M168" s="23">
        <f t="shared" si="97"/>
        <v>429.57</v>
      </c>
      <c r="N168" s="23">
        <f t="shared" si="97"/>
        <v>429.57</v>
      </c>
      <c r="O168" s="47"/>
      <c r="Z168" s="2" t="s">
        <v>176</v>
      </c>
      <c r="AA168" s="19">
        <v>412.35</v>
      </c>
      <c r="AC168" s="19"/>
    </row>
    <row r="169" spans="2:30" s="2" customFormat="1" ht="12.9" customHeight="1">
      <c r="B169" s="29" t="s">
        <v>177</v>
      </c>
      <c r="C169" s="16">
        <f>IF($C$2&lt;&gt;"Carrera",$AA$168,0)</f>
        <v>0</v>
      </c>
      <c r="E169" s="29" t="s">
        <v>98</v>
      </c>
      <c r="F169" s="23">
        <f>IF(AND($C$2="Carrera",C3&lt;=1),$AA$167,0)</f>
        <v>0</v>
      </c>
      <c r="G169" s="23">
        <f>+F169</f>
        <v>0</v>
      </c>
      <c r="H169" s="23">
        <f t="shared" ref="H169:N169" si="98">+G169</f>
        <v>0</v>
      </c>
      <c r="I169" s="23"/>
      <c r="J169" s="23">
        <f t="shared" si="98"/>
        <v>0</v>
      </c>
      <c r="K169" s="23">
        <f t="shared" si="98"/>
        <v>0</v>
      </c>
      <c r="L169" s="23">
        <f t="shared" si="98"/>
        <v>0</v>
      </c>
      <c r="M169" s="23">
        <f t="shared" si="98"/>
        <v>0</v>
      </c>
      <c r="N169" s="23">
        <f t="shared" si="98"/>
        <v>0</v>
      </c>
      <c r="O169" s="53"/>
      <c r="P169" s="13"/>
      <c r="Z169" s="2" t="s">
        <v>178</v>
      </c>
      <c r="AA169" s="19">
        <v>429.57</v>
      </c>
      <c r="AB169" s="2" t="s">
        <v>179</v>
      </c>
      <c r="AC169" s="19"/>
      <c r="AD169" s="2" t="s">
        <v>180</v>
      </c>
    </row>
    <row r="170" spans="2:30" s="2" customFormat="1" ht="12.9" customHeight="1">
      <c r="B170" s="29" t="s">
        <v>52</v>
      </c>
      <c r="C170" s="16">
        <f t="shared" si="93"/>
        <v>68.45</v>
      </c>
      <c r="E170" s="29" t="s">
        <v>52</v>
      </c>
      <c r="F170" s="27">
        <v>68.45</v>
      </c>
      <c r="G170" s="23">
        <f>+$F$170</f>
        <v>68.45</v>
      </c>
      <c r="H170" s="23">
        <f t="shared" ref="H170:N170" si="99">+$F$170</f>
        <v>68.45</v>
      </c>
      <c r="I170" s="23">
        <f t="shared" si="99"/>
        <v>68.45</v>
      </c>
      <c r="J170" s="23">
        <f t="shared" si="99"/>
        <v>68.45</v>
      </c>
      <c r="K170" s="23">
        <f t="shared" si="99"/>
        <v>68.45</v>
      </c>
      <c r="L170" s="23">
        <f t="shared" si="99"/>
        <v>68.45</v>
      </c>
      <c r="M170" s="23">
        <f t="shared" si="99"/>
        <v>68.45</v>
      </c>
      <c r="N170" s="23">
        <f t="shared" si="99"/>
        <v>68.45</v>
      </c>
      <c r="O170" s="5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2" t="s">
        <v>181</v>
      </c>
      <c r="AA170" s="19">
        <v>491.43</v>
      </c>
      <c r="AB170" s="2">
        <f>SUM(AA170-AA169)</f>
        <v>61.86</v>
      </c>
      <c r="AC170" s="19"/>
      <c r="AD170" s="2">
        <f>SUM(AC170-AC169)</f>
        <v>0</v>
      </c>
    </row>
    <row r="171" spans="2:30" s="2" customFormat="1" ht="12.9" customHeight="1">
      <c r="B171" s="29" t="s">
        <v>54</v>
      </c>
      <c r="C171" s="16">
        <f t="shared" si="93"/>
        <v>86.34</v>
      </c>
      <c r="E171" s="29" t="s">
        <v>54</v>
      </c>
      <c r="F171" s="27">
        <v>86.34</v>
      </c>
      <c r="G171" s="23">
        <f>+$F$171</f>
        <v>86.34</v>
      </c>
      <c r="H171" s="23">
        <f t="shared" ref="H171:N171" si="100">+$F$171</f>
        <v>86.34</v>
      </c>
      <c r="I171" s="23">
        <f t="shared" si="100"/>
        <v>86.34</v>
      </c>
      <c r="J171" s="23">
        <f t="shared" si="100"/>
        <v>86.34</v>
      </c>
      <c r="K171" s="23">
        <f t="shared" si="100"/>
        <v>86.34</v>
      </c>
      <c r="L171" s="23">
        <f t="shared" si="100"/>
        <v>86.34</v>
      </c>
      <c r="M171" s="23">
        <f t="shared" si="100"/>
        <v>86.34</v>
      </c>
      <c r="N171" s="23">
        <f t="shared" si="100"/>
        <v>86.34</v>
      </c>
      <c r="O171" s="5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2" t="s">
        <v>182</v>
      </c>
      <c r="AA171" s="19">
        <v>535.73</v>
      </c>
      <c r="AB171" s="2">
        <f>SUM(AA171-AA170)</f>
        <v>44.3</v>
      </c>
      <c r="AC171" s="19"/>
      <c r="AD171" s="2">
        <f t="shared" ref="AD171:AD174" si="101">SUM(AC171-AC170)</f>
        <v>0</v>
      </c>
    </row>
    <row r="172" spans="2:30" s="2" customFormat="1" ht="12.9" customHeight="1">
      <c r="B172" s="29" t="s">
        <v>56</v>
      </c>
      <c r="C172" s="16">
        <f t="shared" si="93"/>
        <v>115.06</v>
      </c>
      <c r="E172" s="29" t="s">
        <v>56</v>
      </c>
      <c r="F172" s="27">
        <v>115.06</v>
      </c>
      <c r="G172" s="23">
        <f>+$F$172</f>
        <v>115.06</v>
      </c>
      <c r="H172" s="23">
        <f t="shared" ref="H172:N172" si="102">+$F$172</f>
        <v>115.06</v>
      </c>
      <c r="I172" s="23">
        <f t="shared" si="102"/>
        <v>115.06</v>
      </c>
      <c r="J172" s="23">
        <f t="shared" si="102"/>
        <v>115.06</v>
      </c>
      <c r="K172" s="23">
        <f t="shared" si="102"/>
        <v>115.06</v>
      </c>
      <c r="L172" s="23">
        <f t="shared" si="102"/>
        <v>115.06</v>
      </c>
      <c r="M172" s="23">
        <f t="shared" si="102"/>
        <v>115.06</v>
      </c>
      <c r="N172" s="23">
        <f t="shared" si="102"/>
        <v>115.06</v>
      </c>
      <c r="O172" s="5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2" t="s">
        <v>183</v>
      </c>
      <c r="AA172" s="19">
        <v>551.86</v>
      </c>
      <c r="AB172" s="2">
        <f>SUM(AA172-AA171)</f>
        <v>16.13</v>
      </c>
      <c r="AC172" s="19"/>
      <c r="AD172" s="2">
        <f t="shared" si="101"/>
        <v>0</v>
      </c>
    </row>
    <row r="173" spans="2:30" s="2" customFormat="1" ht="12.9" customHeight="1">
      <c r="B173" s="29" t="s">
        <v>58</v>
      </c>
      <c r="C173" s="16">
        <f t="shared" si="93"/>
        <v>157.41</v>
      </c>
      <c r="E173" s="29" t="s">
        <v>58</v>
      </c>
      <c r="F173" s="27">
        <v>157.41</v>
      </c>
      <c r="G173" s="23">
        <f>+$F$173</f>
        <v>157.41</v>
      </c>
      <c r="H173" s="23">
        <f t="shared" ref="H173:N173" si="103">+$F$173</f>
        <v>157.41</v>
      </c>
      <c r="I173" s="23">
        <f t="shared" si="103"/>
        <v>157.41</v>
      </c>
      <c r="J173" s="23">
        <f t="shared" si="103"/>
        <v>157.41</v>
      </c>
      <c r="K173" s="23">
        <f t="shared" si="103"/>
        <v>157.41</v>
      </c>
      <c r="L173" s="23">
        <f t="shared" si="103"/>
        <v>157.41</v>
      </c>
      <c r="M173" s="23">
        <f t="shared" si="103"/>
        <v>157.41</v>
      </c>
      <c r="N173" s="23">
        <f t="shared" si="103"/>
        <v>157.41</v>
      </c>
      <c r="O173" s="5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2" t="s">
        <v>184</v>
      </c>
      <c r="AA173" s="19">
        <v>526.36</v>
      </c>
      <c r="AB173" s="2">
        <f>SUM(AA173-AA172)</f>
        <v>-25.5</v>
      </c>
      <c r="AC173" s="19"/>
      <c r="AD173" s="2">
        <f t="shared" si="101"/>
        <v>0</v>
      </c>
    </row>
    <row r="174" spans="2:30" s="2" customFormat="1" ht="12.9" customHeight="1">
      <c r="B174" s="29" t="s">
        <v>60</v>
      </c>
      <c r="C174" s="16">
        <f t="shared" si="93"/>
        <v>46.36</v>
      </c>
      <c r="E174" s="29" t="s">
        <v>60</v>
      </c>
      <c r="F174" s="27">
        <v>46.36</v>
      </c>
      <c r="G174" s="23">
        <f>+$F$174</f>
        <v>46.36</v>
      </c>
      <c r="H174" s="23">
        <f t="shared" ref="H174:N174" si="104">+$F$174</f>
        <v>46.36</v>
      </c>
      <c r="I174" s="23">
        <f t="shared" si="104"/>
        <v>46.36</v>
      </c>
      <c r="J174" s="23">
        <f t="shared" si="104"/>
        <v>46.36</v>
      </c>
      <c r="K174" s="23">
        <f t="shared" si="104"/>
        <v>46.36</v>
      </c>
      <c r="L174" s="23">
        <f t="shared" si="104"/>
        <v>46.36</v>
      </c>
      <c r="M174" s="23">
        <f t="shared" si="104"/>
        <v>46.36</v>
      </c>
      <c r="N174" s="23">
        <f t="shared" si="104"/>
        <v>46.36</v>
      </c>
      <c r="O174" s="5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2" t="s">
        <v>185</v>
      </c>
      <c r="AA174" s="19">
        <v>609.89</v>
      </c>
      <c r="AB174" s="2">
        <f>SUM(AA174-AA173)</f>
        <v>83.53</v>
      </c>
      <c r="AC174" s="19"/>
      <c r="AD174" s="2">
        <f t="shared" si="101"/>
        <v>0</v>
      </c>
    </row>
    <row r="175" spans="2:30" s="2" customFormat="1" ht="12.9" customHeight="1">
      <c r="B175" s="29" t="s">
        <v>103</v>
      </c>
      <c r="C175" s="16">
        <f t="shared" si="93"/>
        <v>36.71</v>
      </c>
      <c r="E175" s="29" t="s">
        <v>103</v>
      </c>
      <c r="F175" s="27">
        <v>36.71</v>
      </c>
      <c r="G175" s="23">
        <f t="shared" ref="G175:M175" si="105">+F175</f>
        <v>36.71</v>
      </c>
      <c r="H175" s="23">
        <f t="shared" si="105"/>
        <v>36.71</v>
      </c>
      <c r="I175" s="23">
        <f t="shared" si="105"/>
        <v>36.71</v>
      </c>
      <c r="J175" s="23">
        <f t="shared" si="105"/>
        <v>36.71</v>
      </c>
      <c r="K175" s="23">
        <f t="shared" si="105"/>
        <v>36.71</v>
      </c>
      <c r="L175" s="23">
        <f t="shared" si="105"/>
        <v>36.71</v>
      </c>
      <c r="M175" s="23">
        <f t="shared" si="105"/>
        <v>36.71</v>
      </c>
      <c r="N175" s="23"/>
      <c r="P175" s="70"/>
      <c r="Q175" s="244" t="s">
        <v>186</v>
      </c>
      <c r="R175" s="245"/>
      <c r="S175" s="244" t="s">
        <v>187</v>
      </c>
      <c r="T175" s="245"/>
      <c r="U175" s="244" t="s">
        <v>188</v>
      </c>
      <c r="V175" s="245"/>
      <c r="W175" s="244" t="s">
        <v>17</v>
      </c>
      <c r="X175" s="246"/>
    </row>
    <row r="176" spans="2:30" s="2" customFormat="1" ht="12.9" customHeight="1">
      <c r="B176" s="29" t="s">
        <v>19</v>
      </c>
      <c r="C176" s="16">
        <f t="shared" si="93"/>
        <v>0</v>
      </c>
      <c r="E176" s="29" t="s">
        <v>19</v>
      </c>
      <c r="F176" s="30">
        <f>IF($C$1=F159,'Nómina mensual'!$F$29,0)</f>
        <v>0</v>
      </c>
      <c r="G176" s="30">
        <f>IF($C$1=G159,'Nómina mensual'!$F$29,0)</f>
        <v>0</v>
      </c>
      <c r="H176" s="30">
        <f>IF($C$1=H159,'Nómina mensual'!$F$29,0)</f>
        <v>0</v>
      </c>
      <c r="I176" s="30">
        <f>IF($C$1=I159,'Nómina mensual'!$F$29,0)</f>
        <v>0</v>
      </c>
      <c r="J176" s="30">
        <f>IF($C$1=J159,'Nómina mensual'!$F$29,0)</f>
        <v>0</v>
      </c>
      <c r="K176" s="30">
        <f>IF($C$1=K159,'Nómina mensual'!$F$29,0)</f>
        <v>0</v>
      </c>
      <c r="L176" s="30">
        <f>IF($C$1=L159,'Nómina mensual'!$F$29,0)</f>
        <v>0</v>
      </c>
      <c r="M176" s="30">
        <f>IF($C$1=M159,'Nómina mensual'!$F$29,0)</f>
        <v>0</v>
      </c>
      <c r="N176" s="23"/>
      <c r="P176" s="71"/>
      <c r="Q176" s="72" t="s">
        <v>138</v>
      </c>
      <c r="R176" s="72" t="s">
        <v>137</v>
      </c>
      <c r="S176" s="72" t="s">
        <v>138</v>
      </c>
      <c r="T176" s="72" t="s">
        <v>137</v>
      </c>
      <c r="U176" s="72" t="s">
        <v>138</v>
      </c>
      <c r="V176" s="72" t="s">
        <v>137</v>
      </c>
      <c r="W176" s="72" t="s">
        <v>138</v>
      </c>
      <c r="X176" s="73" t="s">
        <v>137</v>
      </c>
    </row>
    <row r="177" spans="2:24" s="2" customFormat="1" ht="12.9" customHeight="1">
      <c r="B177" s="31" t="s">
        <v>189</v>
      </c>
      <c r="C177" s="16">
        <f t="shared" si="93"/>
        <v>0</v>
      </c>
      <c r="E177" s="31" t="s">
        <v>189</v>
      </c>
      <c r="F177" s="30">
        <f>IF(AND('Nómina mensual'!$H$5="A2",'Nómina mensual'!$H$10="Mallorca"),Retribuciones!R179,0)</f>
        <v>0</v>
      </c>
      <c r="G177" s="23">
        <f>+F177</f>
        <v>0</v>
      </c>
      <c r="H177" s="23">
        <f>+G177</f>
        <v>0</v>
      </c>
      <c r="I177" s="30">
        <f>IF(AND('Nómina mensual'!$H$5="A1",'Nómina mensual'!$H$10="Mallorca"),Retribuciones!Q179,0)</f>
        <v>0</v>
      </c>
      <c r="J177" s="23">
        <f t="shared" ref="J177:N181" si="106">+I177</f>
        <v>0</v>
      </c>
      <c r="K177" s="23">
        <f t="shared" si="106"/>
        <v>0</v>
      </c>
      <c r="L177" s="23">
        <f t="shared" si="106"/>
        <v>0</v>
      </c>
      <c r="M177" s="23">
        <f t="shared" si="106"/>
        <v>0</v>
      </c>
      <c r="N177" s="23">
        <f t="shared" si="106"/>
        <v>0</v>
      </c>
      <c r="P177" s="74" t="s">
        <v>190</v>
      </c>
      <c r="Q177" s="23"/>
      <c r="R177" s="23"/>
      <c r="S177" s="75">
        <v>100</v>
      </c>
      <c r="T177" s="23">
        <f>S177</f>
        <v>100</v>
      </c>
      <c r="U177" s="75">
        <v>200</v>
      </c>
      <c r="V177" s="23">
        <f>U177</f>
        <v>200</v>
      </c>
      <c r="W177" s="75">
        <v>400</v>
      </c>
      <c r="X177" s="76">
        <f>W177</f>
        <v>400</v>
      </c>
    </row>
    <row r="178" spans="2:24" s="2" customFormat="1" ht="12.9" customHeight="1">
      <c r="B178" s="31" t="s">
        <v>191</v>
      </c>
      <c r="C178" s="16">
        <f t="shared" si="93"/>
        <v>693.08</v>
      </c>
      <c r="E178" s="77" t="s">
        <v>191</v>
      </c>
      <c r="F178" s="23">
        <f>IF(AND('Nómina mensual'!$H$5="A2",'Nómina mensual'!$H$10="Menorca"),Retribuciones!T179,IF(AND('Nómina mensual'!$H$5="A2",'Nómina mensual'!$H$10="Ibiza"),Retribuciones!V179,IF(AND('Nómina mensual'!$H$5="A2",'Nómina mensual'!$H$10="Formentera"),Retribuciones!X179,0)))</f>
        <v>0</v>
      </c>
      <c r="G178" s="23">
        <f>+F178</f>
        <v>0</v>
      </c>
      <c r="H178" s="23">
        <f>+G178</f>
        <v>0</v>
      </c>
      <c r="I178" s="23">
        <f>IF(AND('Nómina mensual'!$H$5="A1",'Nómina mensual'!$H$10="Menorca"),Retribuciones!S179,IF(AND('Nómina mensual'!$H$5="A1",'Nómina mensual'!$H$10="Ibiza"),Retribuciones!U179,IF(AND('Nómina mensual'!$H$5="A1",'Nómina mensual'!$H$10="Formentera"),Retribuciones!W179,0)))</f>
        <v>693.08</v>
      </c>
      <c r="J178" s="23">
        <f t="shared" si="106"/>
        <v>693.08</v>
      </c>
      <c r="K178" s="23">
        <f t="shared" si="106"/>
        <v>693.08</v>
      </c>
      <c r="L178" s="23">
        <f t="shared" si="106"/>
        <v>693.08</v>
      </c>
      <c r="M178" s="23">
        <f t="shared" si="106"/>
        <v>693.08</v>
      </c>
      <c r="N178" s="23">
        <f t="shared" si="106"/>
        <v>693.08</v>
      </c>
      <c r="P178" s="74" t="s">
        <v>192</v>
      </c>
      <c r="Q178" s="75">
        <v>144.19999999999999</v>
      </c>
      <c r="R178" s="75">
        <v>129.76</v>
      </c>
      <c r="S178" s="75">
        <v>222.58</v>
      </c>
      <c r="T178" s="75">
        <v>212.11</v>
      </c>
      <c r="U178" s="23">
        <f>S178</f>
        <v>222.58</v>
      </c>
      <c r="V178" s="23">
        <f>T178</f>
        <v>212.11</v>
      </c>
      <c r="W178" s="75">
        <v>293.08</v>
      </c>
      <c r="X178" s="78">
        <v>283.61</v>
      </c>
    </row>
    <row r="179" spans="2:24" s="2" customFormat="1" ht="12.9" customHeight="1">
      <c r="B179" s="31" t="s">
        <v>108</v>
      </c>
      <c r="C179" s="16">
        <f t="shared" si="93"/>
        <v>0</v>
      </c>
      <c r="E179" s="31" t="s">
        <v>108</v>
      </c>
      <c r="F179" s="23"/>
      <c r="G179" s="23"/>
      <c r="H179" s="23"/>
      <c r="I179" s="23">
        <f>+H179</f>
        <v>0</v>
      </c>
      <c r="J179" s="23">
        <f t="shared" si="106"/>
        <v>0</v>
      </c>
      <c r="K179" s="23">
        <f t="shared" si="106"/>
        <v>0</v>
      </c>
      <c r="L179" s="23">
        <f t="shared" si="106"/>
        <v>0</v>
      </c>
      <c r="M179" s="23">
        <f t="shared" si="106"/>
        <v>0</v>
      </c>
      <c r="N179" s="23">
        <f t="shared" si="106"/>
        <v>0</v>
      </c>
      <c r="P179" s="79" t="s">
        <v>193</v>
      </c>
      <c r="Q179" s="80">
        <f>SUM(Q177:Q178)</f>
        <v>144.19999999999999</v>
      </c>
      <c r="R179" s="80">
        <f t="shared" ref="R179:X179" si="107">SUM(R177:R178)</f>
        <v>129.76</v>
      </c>
      <c r="S179" s="80">
        <f t="shared" si="107"/>
        <v>322.58</v>
      </c>
      <c r="T179" s="80">
        <f t="shared" si="107"/>
        <v>312.11</v>
      </c>
      <c r="U179" s="80">
        <f t="shared" si="107"/>
        <v>422.58</v>
      </c>
      <c r="V179" s="80">
        <f t="shared" si="107"/>
        <v>412.11</v>
      </c>
      <c r="W179" s="80">
        <f t="shared" si="107"/>
        <v>693.08</v>
      </c>
      <c r="X179" s="81">
        <f t="shared" si="107"/>
        <v>683.61</v>
      </c>
    </row>
    <row r="180" spans="2:24" s="2" customFormat="1" ht="12.9" customHeight="1">
      <c r="B180" s="33" t="s">
        <v>109</v>
      </c>
      <c r="C180" s="16">
        <f t="shared" si="93"/>
        <v>0</v>
      </c>
      <c r="E180" s="33" t="s">
        <v>109</v>
      </c>
      <c r="F180" s="27">
        <v>135.08000000000001</v>
      </c>
      <c r="G180" s="23"/>
      <c r="H180" s="23"/>
      <c r="I180" s="23">
        <f>+H180</f>
        <v>0</v>
      </c>
      <c r="J180" s="23">
        <f t="shared" si="106"/>
        <v>0</v>
      </c>
      <c r="K180" s="23">
        <f t="shared" si="106"/>
        <v>0</v>
      </c>
      <c r="L180" s="23">
        <f t="shared" si="106"/>
        <v>0</v>
      </c>
      <c r="M180" s="23">
        <f t="shared" si="106"/>
        <v>0</v>
      </c>
      <c r="N180" s="23">
        <f t="shared" si="106"/>
        <v>0</v>
      </c>
    </row>
    <row r="181" spans="2:24" s="2" customFormat="1" ht="12.9" customHeight="1">
      <c r="B181" s="34" t="s">
        <v>194</v>
      </c>
      <c r="C181" s="16">
        <f t="shared" si="93"/>
        <v>52.53</v>
      </c>
      <c r="E181" s="34" t="s">
        <v>195</v>
      </c>
      <c r="F181" s="27">
        <v>52.53</v>
      </c>
      <c r="G181" s="23">
        <f>F181</f>
        <v>52.53</v>
      </c>
      <c r="H181" s="23">
        <f>F181</f>
        <v>52.53</v>
      </c>
      <c r="I181" s="23">
        <f>F181</f>
        <v>52.53</v>
      </c>
      <c r="J181" s="23">
        <f>F181</f>
        <v>52.53</v>
      </c>
      <c r="K181" s="23">
        <f t="shared" si="106"/>
        <v>52.53</v>
      </c>
      <c r="L181" s="23">
        <f t="shared" si="106"/>
        <v>52.53</v>
      </c>
      <c r="M181" s="23">
        <f t="shared" si="106"/>
        <v>52.53</v>
      </c>
      <c r="N181" s="27">
        <v>77.260000000000005</v>
      </c>
    </row>
    <row r="182" spans="2:24" s="2" customFormat="1" ht="12.9" customHeight="1">
      <c r="B182" s="34" t="s">
        <v>196</v>
      </c>
      <c r="C182" s="16">
        <f t="shared" si="93"/>
        <v>80</v>
      </c>
      <c r="E182" s="34" t="s">
        <v>197</v>
      </c>
      <c r="F182" s="27">
        <v>80</v>
      </c>
      <c r="G182" s="23">
        <f>F182</f>
        <v>80</v>
      </c>
      <c r="H182" s="23">
        <f>F182</f>
        <v>80</v>
      </c>
      <c r="I182" s="23">
        <f>F182</f>
        <v>80</v>
      </c>
      <c r="J182" s="23">
        <f>F182</f>
        <v>80</v>
      </c>
      <c r="K182" s="23">
        <f>F182</f>
        <v>80</v>
      </c>
      <c r="L182" s="23">
        <f>F182</f>
        <v>80</v>
      </c>
      <c r="M182" s="23">
        <f>F182</f>
        <v>80</v>
      </c>
      <c r="N182" s="27">
        <v>115.89</v>
      </c>
    </row>
    <row r="183" spans="2:24" s="2" customFormat="1" ht="12.9" customHeight="1">
      <c r="B183" s="34" t="s">
        <v>115</v>
      </c>
      <c r="C183" s="16">
        <f t="shared" si="93"/>
        <v>0</v>
      </c>
      <c r="E183" s="34" t="s">
        <v>115</v>
      </c>
      <c r="F183" s="23"/>
      <c r="G183" s="23"/>
      <c r="H183" s="23"/>
      <c r="I183" s="23"/>
      <c r="J183" s="23"/>
      <c r="K183" s="23"/>
      <c r="L183" s="23"/>
      <c r="M183" s="23"/>
      <c r="N183" s="23"/>
    </row>
    <row r="184" spans="2:24" s="2" customFormat="1" ht="12.9" customHeight="1">
      <c r="B184" s="35" t="s">
        <v>117</v>
      </c>
      <c r="C184" s="16">
        <f t="shared" si="93"/>
        <v>0</v>
      </c>
      <c r="E184" s="35" t="s">
        <v>117</v>
      </c>
      <c r="F184" s="23"/>
      <c r="G184" s="23"/>
      <c r="H184" s="23"/>
      <c r="I184" s="23"/>
      <c r="J184" s="23"/>
      <c r="K184" s="23"/>
      <c r="L184" s="23"/>
      <c r="M184" s="23"/>
      <c r="N184" s="23"/>
    </row>
    <row r="185" spans="2:24" s="2" customFormat="1" ht="12.9" customHeight="1">
      <c r="B185" s="39" t="s">
        <v>119</v>
      </c>
      <c r="C185" s="16">
        <f t="shared" si="93"/>
        <v>-51.68</v>
      </c>
      <c r="E185" s="39" t="s">
        <v>119</v>
      </c>
      <c r="F185" s="50">
        <f>+F77</f>
        <v>-40.68</v>
      </c>
      <c r="G185" s="50">
        <f t="shared" ref="G185:N185" si="108">+G77</f>
        <v>-40.68</v>
      </c>
      <c r="H185" s="50">
        <f t="shared" si="108"/>
        <v>-40.68</v>
      </c>
      <c r="I185" s="50">
        <f t="shared" si="108"/>
        <v>-51.68</v>
      </c>
      <c r="J185" s="50">
        <f t="shared" si="108"/>
        <v>-51.68</v>
      </c>
      <c r="K185" s="50">
        <f t="shared" si="108"/>
        <v>-51.68</v>
      </c>
      <c r="L185" s="50">
        <f t="shared" si="108"/>
        <v>-51.68</v>
      </c>
      <c r="M185" s="50">
        <f t="shared" si="108"/>
        <v>-51.68</v>
      </c>
      <c r="N185" s="50">
        <f t="shared" si="108"/>
        <v>-51.68</v>
      </c>
    </row>
    <row r="186" spans="2:24" s="2" customFormat="1" ht="12.9" customHeight="1">
      <c r="B186" s="39" t="s">
        <v>121</v>
      </c>
      <c r="C186" s="16">
        <f t="shared" si="93"/>
        <v>118.04</v>
      </c>
      <c r="E186" s="39" t="s">
        <v>121</v>
      </c>
      <c r="F186" s="50">
        <f>+F78</f>
        <v>-92.9</v>
      </c>
      <c r="G186" s="50">
        <f t="shared" ref="G186:N186" si="109">+G78</f>
        <v>-92.9</v>
      </c>
      <c r="H186" s="50">
        <f t="shared" si="109"/>
        <v>-92.9</v>
      </c>
      <c r="I186" s="50">
        <f t="shared" si="109"/>
        <v>118.04</v>
      </c>
      <c r="J186" s="50">
        <f t="shared" si="109"/>
        <v>118.04</v>
      </c>
      <c r="K186" s="50">
        <f t="shared" si="109"/>
        <v>118.04</v>
      </c>
      <c r="L186" s="50">
        <f t="shared" si="109"/>
        <v>118.04</v>
      </c>
      <c r="M186" s="50">
        <f t="shared" si="109"/>
        <v>118.04</v>
      </c>
      <c r="N186" s="50">
        <f t="shared" si="109"/>
        <v>118.04</v>
      </c>
    </row>
    <row r="187" spans="2:24">
      <c r="B187" s="41" t="s">
        <v>80</v>
      </c>
      <c r="C187" s="16">
        <f t="shared" si="93"/>
        <v>49767.28</v>
      </c>
      <c r="E187" s="42" t="s">
        <v>80</v>
      </c>
      <c r="F187" s="3">
        <f>((+F162+F166+F167+F168)*12)+(F164*INT($C$3/3)*12)+((F163+F166)*2)+((F167+F168)*2)+(F176*14)+(F165*INT($C$3/3)*2)+(IF($C$6="si",(F178*12),F177*12))+(IF($C$4="si",F180,0))+(((IF(INT($C$3/6)&lt;6,F169,13.98))+(IF(AND(INT($C$3/6)&gt;0,INT($C$3/6)&lt;2),F170,0))+(IF(AND(INT($C$3/6)&gt;1,INT($C$3/6)&lt;3),F170+F171,0))+(IF(AND(INT($C$3/6)&gt;2,INT($C$3/6)&lt;4),F170+F171+F172,0))+(IF(AND(INT($C$3/6)&gt;3,INT($C$3/6)&lt;5),F170+F171+F172+F173,0))+(IF(INT($C$3/6)&gt;4,F170+F171+F172+F173+F174,0)))*12)+(IF($C$7="s",F175*12,0))++(((IF(INT($C$3/3)&lt;6,F169,0))+(IF(AND(INT($C$3/6)&gt;0,INT($C$3/6)&lt;2),F170,0))+(IF(AND(INT($C$3/6)&gt;1,INT($C$3/6)&lt;3),F170+F171,0))+(IF(AND(INT($C$3/6)&gt;2,INT($C$3/6)&lt;4),F170+F171+F172,0))+(IF(AND(INT($C$3/6)&gt;3,INT($C$3/6)&lt;5),F170+F171+F172+F173,0))+(IF(INT($C$3/6)&gt;4,F170+F171+F172+F173+F174,0)))*2)+(IF($C$3&gt;12,(F182*12),IF($C$3&gt;6,(F181*12),0)))</f>
        <v>37224.600000000006</v>
      </c>
      <c r="G187" s="3">
        <f t="shared" ref="G187:N187" si="110">((+G162+G166+G167+G168)*12)+(G164*INT($C$3/3)*12)+((G163+G166)*2)+((G167+G168)*2)+(G176*14)+(G165*INT($C$3/3)*2)+(IF($C$6="si",(G178*12),G177*12))+(IF($C$4="si",G180,0))+(((IF(INT($C$3/6)&lt;6,G169,13.98))+(IF(AND(INT($C$3/6)&gt;0,INT($C$3/6)&lt;2),G170,0))+(IF(AND(INT($C$3/6)&gt;1,INT($C$3/6)&lt;3),G170+G171,0))+(IF(AND(INT($C$3/6)&gt;2,INT($C$3/6)&lt;4),G170+G171+G172,0))+(IF(AND(INT($C$3/6)&gt;3,INT($C$3/6)&lt;5),G170+G171+G172+G173,0))+(IF(INT($C$3/6)&gt;4,G170+G171+G172+G173+G174,0)))*12)+(IF($C$7="s",G175*12,0))++(((IF(INT($C$3/3)&lt;6,G169,0))+(IF(AND(INT($C$3/6)&gt;0,INT($C$3/6)&lt;2),G170,0))+(IF(AND(INT($C$3/6)&gt;1,INT($C$3/6)&lt;3),G170+G171,0))+(IF(AND(INT($C$3/6)&gt;2,INT($C$3/6)&lt;4),G170+G171+G172,0))+(IF(AND(INT($C$3/6)&gt;3,INT($C$3/6)&lt;5),G170+G171+G172+G173,0))+(IF(INT($C$3/6)&gt;4,G170+G171+G172+G173+G174,0)))*2)+(IF($C$3&gt;12,(G182*12),IF($C$3&gt;6,(G181*12),0)))</f>
        <v>39114.600000000006</v>
      </c>
      <c r="H187" s="3">
        <f t="shared" si="110"/>
        <v>39114.600000000006</v>
      </c>
      <c r="I187" s="3">
        <f t="shared" si="110"/>
        <v>49767.28</v>
      </c>
      <c r="J187" s="3">
        <f t="shared" si="110"/>
        <v>49767.28</v>
      </c>
      <c r="K187" s="3">
        <f t="shared" si="110"/>
        <v>49767.28</v>
      </c>
      <c r="L187" s="3">
        <f t="shared" si="110"/>
        <v>49767.28</v>
      </c>
      <c r="M187" s="3">
        <f t="shared" si="110"/>
        <v>52610.259999999995</v>
      </c>
      <c r="N187" s="3">
        <f t="shared" si="110"/>
        <v>66801.08</v>
      </c>
    </row>
    <row r="194" spans="2:27" s="2" customFormat="1" ht="12.9" customHeight="1">
      <c r="B194" s="9"/>
      <c r="C194" s="2" t="str">
        <f>+E195</f>
        <v>Cantabria</v>
      </c>
    </row>
    <row r="195" spans="2:27" s="2" customFormat="1" ht="35.25" customHeight="1">
      <c r="C195" s="10" t="str">
        <f>+$C$11</f>
        <v>590-Profesores Enseñanza Secundaria</v>
      </c>
      <c r="E195" s="11" t="s">
        <v>30</v>
      </c>
      <c r="F195" s="12" t="s">
        <v>120</v>
      </c>
      <c r="G195" s="12" t="s">
        <v>110</v>
      </c>
      <c r="H195" s="12" t="s">
        <v>118</v>
      </c>
      <c r="I195" s="12" t="s">
        <v>4</v>
      </c>
      <c r="J195" s="12" t="s">
        <v>112</v>
      </c>
      <c r="K195" s="12" t="s">
        <v>114</v>
      </c>
      <c r="L195" s="12" t="s">
        <v>116</v>
      </c>
      <c r="M195" s="12" t="s">
        <v>107</v>
      </c>
      <c r="N195" s="12" t="s">
        <v>105</v>
      </c>
      <c r="O195" s="13" t="s">
        <v>198</v>
      </c>
      <c r="Q195" s="14" t="s">
        <v>137</v>
      </c>
      <c r="R195" s="14"/>
      <c r="S195" s="13"/>
      <c r="T195" s="13"/>
      <c r="U195" s="13"/>
      <c r="V195" s="13"/>
      <c r="W195" s="43" t="s">
        <v>138</v>
      </c>
      <c r="X195" s="13"/>
      <c r="Y195" s="13"/>
    </row>
    <row r="196" spans="2:27" s="2" customFormat="1" ht="12.9" customHeight="1">
      <c r="B196" s="44" t="s">
        <v>91</v>
      </c>
      <c r="C196" s="16" t="str">
        <f t="shared" ref="C196:C223" si="111">IF($C$11=$F$11,F196,IF($C$11=G$11,G196,IF($C$11=H$11,H196,IF($C$11=I$11,I196,IF($C$11=J$11,J196,IF($C$11=K$11,K196,IF($C$11=L$11,L196,IF($C$11=M$11,M196,N196))))))))</f>
        <v>A1</v>
      </c>
      <c r="E196" s="45" t="s">
        <v>91</v>
      </c>
      <c r="F196" s="17" t="s">
        <v>137</v>
      </c>
      <c r="G196" s="17" t="s">
        <v>137</v>
      </c>
      <c r="H196" s="17" t="s">
        <v>137</v>
      </c>
      <c r="I196" s="17" t="s">
        <v>138</v>
      </c>
      <c r="J196" s="17" t="s">
        <v>138</v>
      </c>
      <c r="K196" s="17" t="s">
        <v>138</v>
      </c>
      <c r="L196" s="17" t="s">
        <v>138</v>
      </c>
      <c r="M196" s="17" t="s">
        <v>138</v>
      </c>
      <c r="N196" s="17" t="s">
        <v>138</v>
      </c>
      <c r="R196" s="2" t="s">
        <v>20</v>
      </c>
      <c r="S196" s="2" t="s">
        <v>123</v>
      </c>
      <c r="T196" s="2" t="s">
        <v>126</v>
      </c>
      <c r="U196" s="2" t="s">
        <v>129</v>
      </c>
      <c r="V196" s="2" t="s">
        <v>130</v>
      </c>
      <c r="W196" s="2" t="s">
        <v>20</v>
      </c>
      <c r="X196" s="2" t="s">
        <v>123</v>
      </c>
      <c r="Y196" s="2" t="s">
        <v>126</v>
      </c>
      <c r="Z196" s="2" t="s">
        <v>129</v>
      </c>
      <c r="AA196" s="2" t="s">
        <v>130</v>
      </c>
    </row>
    <row r="197" spans="2:27" s="2" customFormat="1" ht="12.9" customHeight="1">
      <c r="B197" s="44" t="str">
        <f>+E197</f>
        <v>Nivel</v>
      </c>
      <c r="C197" s="16">
        <f t="shared" si="111"/>
        <v>24</v>
      </c>
      <c r="E197" s="45" t="s">
        <v>144</v>
      </c>
      <c r="F197" s="17">
        <v>21</v>
      </c>
      <c r="G197" s="17">
        <v>24</v>
      </c>
      <c r="H197" s="17">
        <v>24</v>
      </c>
      <c r="I197" s="17">
        <v>24</v>
      </c>
      <c r="J197" s="17">
        <v>24</v>
      </c>
      <c r="K197" s="17">
        <v>24</v>
      </c>
      <c r="L197" s="17">
        <v>24</v>
      </c>
      <c r="M197" s="17">
        <v>26</v>
      </c>
      <c r="N197" s="17">
        <v>26</v>
      </c>
      <c r="Q197" s="2" t="s">
        <v>124</v>
      </c>
      <c r="R197" s="2">
        <v>0</v>
      </c>
      <c r="S197" s="19">
        <v>946.47</v>
      </c>
      <c r="T197" s="19"/>
      <c r="U197" s="19">
        <v>376.03</v>
      </c>
      <c r="V197" s="43">
        <f>U197</f>
        <v>376.03</v>
      </c>
      <c r="W197" s="2">
        <v>0</v>
      </c>
      <c r="X197" s="19">
        <v>1154.8499999999999</v>
      </c>
      <c r="Y197" s="19">
        <v>580.11</v>
      </c>
      <c r="Z197" s="43">
        <f>Y197</f>
        <v>580.11</v>
      </c>
      <c r="AA197" s="43">
        <f>Y197</f>
        <v>580.11</v>
      </c>
    </row>
    <row r="198" spans="2:27" s="2" customFormat="1" ht="12.9" customHeight="1">
      <c r="B198" s="22" t="s">
        <v>43</v>
      </c>
      <c r="C198" s="16">
        <f t="shared" si="111"/>
        <v>1387.24</v>
      </c>
      <c r="E198" s="22" t="s">
        <v>43</v>
      </c>
      <c r="F198" s="23">
        <f t="shared" ref="F198:I201" si="112">+F54</f>
        <v>1199.52</v>
      </c>
      <c r="G198" s="23">
        <f t="shared" si="112"/>
        <v>1199.52</v>
      </c>
      <c r="H198" s="23">
        <f t="shared" si="112"/>
        <v>1199.52</v>
      </c>
      <c r="I198" s="23">
        <f t="shared" si="112"/>
        <v>1387.24</v>
      </c>
      <c r="J198" s="23">
        <f>+I198</f>
        <v>1387.24</v>
      </c>
      <c r="K198" s="23">
        <f>+J198</f>
        <v>1387.24</v>
      </c>
      <c r="L198" s="23">
        <f>+K198</f>
        <v>1387.24</v>
      </c>
      <c r="M198" s="23">
        <f>+L198</f>
        <v>1387.24</v>
      </c>
      <c r="N198" s="23">
        <f>+M198</f>
        <v>1387.24</v>
      </c>
      <c r="Q198" s="2" t="s">
        <v>127</v>
      </c>
      <c r="R198" s="2">
        <v>0</v>
      </c>
      <c r="S198" s="19">
        <v>858.75</v>
      </c>
      <c r="T198" s="19"/>
      <c r="U198" s="19">
        <v>353.33</v>
      </c>
      <c r="V198" s="43">
        <f t="shared" ref="V198:V200" si="113">U198</f>
        <v>353.33</v>
      </c>
      <c r="W198" s="2">
        <v>0</v>
      </c>
      <c r="X198" s="19">
        <v>994.72</v>
      </c>
      <c r="Y198" s="19">
        <v>568.88</v>
      </c>
      <c r="Z198" s="43">
        <f t="shared" ref="Z198:Z200" si="114">Y198</f>
        <v>568.88</v>
      </c>
      <c r="AA198" s="43">
        <f t="shared" ref="AA198:AA200" si="115">Y198</f>
        <v>568.88</v>
      </c>
    </row>
    <row r="199" spans="2:27" s="2" customFormat="1" ht="12.9" customHeight="1">
      <c r="B199" s="22" t="s">
        <v>92</v>
      </c>
      <c r="C199" s="16">
        <f t="shared" si="111"/>
        <v>856.05</v>
      </c>
      <c r="E199" s="22" t="s">
        <v>92</v>
      </c>
      <c r="F199" s="25">
        <f t="shared" si="112"/>
        <v>874.83</v>
      </c>
      <c r="G199" s="25">
        <f t="shared" si="112"/>
        <v>874.83</v>
      </c>
      <c r="H199" s="25">
        <f t="shared" si="112"/>
        <v>874.83</v>
      </c>
      <c r="I199" s="25">
        <f t="shared" si="112"/>
        <v>856.05</v>
      </c>
      <c r="J199" s="23">
        <f t="shared" ref="J199:N203" si="116">+I199</f>
        <v>856.05</v>
      </c>
      <c r="K199" s="23">
        <f t="shared" si="116"/>
        <v>856.05</v>
      </c>
      <c r="L199" s="23">
        <f t="shared" si="116"/>
        <v>856.05</v>
      </c>
      <c r="M199" s="23">
        <f t="shared" si="116"/>
        <v>856.05</v>
      </c>
      <c r="N199" s="23">
        <f t="shared" si="116"/>
        <v>856.05</v>
      </c>
      <c r="Q199" s="2" t="s">
        <v>22</v>
      </c>
      <c r="R199" s="2">
        <v>0</v>
      </c>
      <c r="S199" s="19">
        <v>620.01</v>
      </c>
      <c r="T199" s="19"/>
      <c r="U199" s="19">
        <v>342.01</v>
      </c>
      <c r="V199" s="43">
        <f t="shared" si="113"/>
        <v>342.01</v>
      </c>
      <c r="W199" s="2">
        <v>0</v>
      </c>
      <c r="X199" s="19">
        <v>900.5</v>
      </c>
      <c r="Y199" s="19">
        <v>410.05</v>
      </c>
      <c r="Z199" s="43">
        <f t="shared" si="114"/>
        <v>410.05</v>
      </c>
      <c r="AA199" s="43">
        <f t="shared" si="115"/>
        <v>410.05</v>
      </c>
    </row>
    <row r="200" spans="2:27" s="2" customFormat="1" ht="12.9" customHeight="1">
      <c r="B200" s="22" t="s">
        <v>93</v>
      </c>
      <c r="C200" s="16">
        <f t="shared" si="111"/>
        <v>53.39</v>
      </c>
      <c r="E200" s="22" t="s">
        <v>93</v>
      </c>
      <c r="F200" s="23">
        <f t="shared" si="112"/>
        <v>43.54</v>
      </c>
      <c r="G200" s="23">
        <f t="shared" si="112"/>
        <v>43.54</v>
      </c>
      <c r="H200" s="23">
        <f t="shared" si="112"/>
        <v>43.54</v>
      </c>
      <c r="I200" s="23">
        <f t="shared" si="112"/>
        <v>53.39</v>
      </c>
      <c r="J200" s="23">
        <f t="shared" si="116"/>
        <v>53.39</v>
      </c>
      <c r="K200" s="23">
        <f t="shared" si="116"/>
        <v>53.39</v>
      </c>
      <c r="L200" s="23">
        <f t="shared" si="116"/>
        <v>53.39</v>
      </c>
      <c r="M200" s="23">
        <f t="shared" si="116"/>
        <v>53.39</v>
      </c>
      <c r="N200" s="23">
        <f t="shared" si="116"/>
        <v>53.39</v>
      </c>
      <c r="Q200" s="2" t="s">
        <v>131</v>
      </c>
      <c r="R200" s="2">
        <v>0</v>
      </c>
      <c r="S200" s="19">
        <v>458.52</v>
      </c>
      <c r="T200" s="19"/>
      <c r="U200" s="19">
        <v>251.3</v>
      </c>
      <c r="V200" s="43">
        <f t="shared" si="113"/>
        <v>251.3</v>
      </c>
      <c r="W200" s="2">
        <v>0</v>
      </c>
      <c r="X200" s="19">
        <v>815.19</v>
      </c>
      <c r="Y200" s="19">
        <v>353.33</v>
      </c>
      <c r="Z200" s="43">
        <f t="shared" si="114"/>
        <v>353.33</v>
      </c>
      <c r="AA200" s="43">
        <f t="shared" si="115"/>
        <v>353.33</v>
      </c>
    </row>
    <row r="201" spans="2:27" s="2" customFormat="1" ht="12.9" customHeight="1">
      <c r="B201" s="22" t="s">
        <v>95</v>
      </c>
      <c r="C201" s="16">
        <f t="shared" si="111"/>
        <v>32.96</v>
      </c>
      <c r="E201" s="22" t="s">
        <v>95</v>
      </c>
      <c r="F201" s="25">
        <f t="shared" si="112"/>
        <v>31.74</v>
      </c>
      <c r="G201" s="25">
        <f t="shared" si="112"/>
        <v>31.74</v>
      </c>
      <c r="H201" s="25">
        <f t="shared" si="112"/>
        <v>31.74</v>
      </c>
      <c r="I201" s="25">
        <f t="shared" si="112"/>
        <v>32.96</v>
      </c>
      <c r="J201" s="23">
        <f t="shared" si="116"/>
        <v>32.96</v>
      </c>
      <c r="K201" s="23">
        <f t="shared" si="116"/>
        <v>32.96</v>
      </c>
      <c r="L201" s="23">
        <f t="shared" si="116"/>
        <v>32.96</v>
      </c>
      <c r="M201" s="23">
        <f t="shared" si="116"/>
        <v>32.96</v>
      </c>
      <c r="N201" s="23">
        <f t="shared" si="116"/>
        <v>32.96</v>
      </c>
      <c r="Q201" s="2" t="s">
        <v>133</v>
      </c>
      <c r="R201" s="2">
        <v>0</v>
      </c>
      <c r="S201" s="19">
        <v>279.67</v>
      </c>
      <c r="T201" s="26"/>
      <c r="U201" s="26"/>
      <c r="V201" s="19">
        <v>195.9</v>
      </c>
      <c r="W201" s="2">
        <v>0</v>
      </c>
      <c r="X201" s="26"/>
      <c r="Y201" s="26"/>
      <c r="Z201" s="19"/>
      <c r="AA201" s="26"/>
    </row>
    <row r="202" spans="2:27" s="2" customFormat="1" ht="12.9" customHeight="1">
      <c r="B202" s="22" t="s">
        <v>46</v>
      </c>
      <c r="C202" s="16">
        <f t="shared" si="111"/>
        <v>767.49</v>
      </c>
      <c r="E202" s="22" t="s">
        <v>46</v>
      </c>
      <c r="F202" s="27">
        <v>623.22</v>
      </c>
      <c r="G202" s="27">
        <v>767.49</v>
      </c>
      <c r="H202" s="23">
        <f>+G202</f>
        <v>767.49</v>
      </c>
      <c r="I202" s="23">
        <f>+H202</f>
        <v>767.49</v>
      </c>
      <c r="J202" s="23">
        <f t="shared" si="116"/>
        <v>767.49</v>
      </c>
      <c r="K202" s="23">
        <f t="shared" si="116"/>
        <v>767.49</v>
      </c>
      <c r="L202" s="23">
        <f t="shared" si="116"/>
        <v>767.49</v>
      </c>
      <c r="M202" s="27">
        <v>919.32</v>
      </c>
      <c r="N202" s="23">
        <f t="shared" si="116"/>
        <v>919.32</v>
      </c>
      <c r="Q202" s="2" t="s">
        <v>134</v>
      </c>
      <c r="R202" s="2">
        <v>0</v>
      </c>
      <c r="S202" s="19">
        <v>120.73</v>
      </c>
      <c r="T202" s="26"/>
      <c r="U202" s="26"/>
      <c r="V202" s="26"/>
      <c r="W202" s="2">
        <v>0</v>
      </c>
      <c r="X202" s="26"/>
      <c r="Y202" s="26"/>
      <c r="Z202" s="19"/>
      <c r="AA202" s="26"/>
    </row>
    <row r="203" spans="2:27" s="2" customFormat="1" ht="12.9" customHeight="1">
      <c r="B203" s="22" t="s">
        <v>48</v>
      </c>
      <c r="C203" s="16">
        <f t="shared" si="111"/>
        <v>875.1</v>
      </c>
      <c r="E203" s="22" t="s">
        <v>48</v>
      </c>
      <c r="F203" s="27">
        <v>875.1</v>
      </c>
      <c r="G203" s="23">
        <f>+F203</f>
        <v>875.1</v>
      </c>
      <c r="H203" s="23">
        <f>+G203</f>
        <v>875.1</v>
      </c>
      <c r="I203" s="23">
        <f>+H203</f>
        <v>875.1</v>
      </c>
      <c r="J203" s="23">
        <f t="shared" si="116"/>
        <v>875.1</v>
      </c>
      <c r="K203" s="23">
        <f t="shared" si="116"/>
        <v>875.1</v>
      </c>
      <c r="L203" s="23">
        <f t="shared" si="116"/>
        <v>875.1</v>
      </c>
      <c r="M203" s="27">
        <v>940.27</v>
      </c>
      <c r="N203" s="27">
        <v>1062.5</v>
      </c>
    </row>
    <row r="204" spans="2:27" s="2" customFormat="1" ht="12.9" customHeight="1">
      <c r="B204" s="29" t="s">
        <v>49</v>
      </c>
      <c r="C204" s="16">
        <f t="shared" si="111"/>
        <v>0</v>
      </c>
      <c r="E204" s="29" t="s">
        <v>49</v>
      </c>
      <c r="F204" s="23"/>
      <c r="G204" s="23"/>
      <c r="H204" s="23"/>
      <c r="I204" s="23"/>
      <c r="J204" s="23"/>
      <c r="K204" s="23"/>
      <c r="L204" s="23"/>
      <c r="M204" s="23"/>
      <c r="N204" s="27">
        <v>1140.46</v>
      </c>
    </row>
    <row r="205" spans="2:27" s="2" customFormat="1" ht="12.9" customHeight="1">
      <c r="B205" s="29" t="s">
        <v>98</v>
      </c>
      <c r="C205" s="16">
        <f t="shared" si="111"/>
        <v>35.770000000000003</v>
      </c>
      <c r="E205" s="29" t="s">
        <v>199</v>
      </c>
      <c r="F205" s="27">
        <v>35.770000000000003</v>
      </c>
      <c r="G205" s="23">
        <f>+F205</f>
        <v>35.770000000000003</v>
      </c>
      <c r="H205" s="23">
        <f t="shared" ref="H205:N205" si="117">+G205</f>
        <v>35.770000000000003</v>
      </c>
      <c r="I205" s="23">
        <f t="shared" si="117"/>
        <v>35.770000000000003</v>
      </c>
      <c r="J205" s="23">
        <f t="shared" si="117"/>
        <v>35.770000000000003</v>
      </c>
      <c r="K205" s="23">
        <f t="shared" si="117"/>
        <v>35.770000000000003</v>
      </c>
      <c r="L205" s="23">
        <f t="shared" si="117"/>
        <v>35.770000000000003</v>
      </c>
      <c r="M205" s="23">
        <f t="shared" si="117"/>
        <v>35.770000000000003</v>
      </c>
      <c r="N205" s="23">
        <f t="shared" si="117"/>
        <v>35.770000000000003</v>
      </c>
    </row>
    <row r="206" spans="2:27" s="2" customFormat="1" ht="12.9" customHeight="1">
      <c r="B206" s="29" t="s">
        <v>52</v>
      </c>
      <c r="C206" s="16">
        <f t="shared" si="111"/>
        <v>108.86</v>
      </c>
      <c r="E206" s="29" t="s">
        <v>52</v>
      </c>
      <c r="F206" s="27">
        <v>108.86</v>
      </c>
      <c r="G206" s="23">
        <f t="shared" ref="G206:I211" si="118">+F206</f>
        <v>108.86</v>
      </c>
      <c r="H206" s="23">
        <f t="shared" si="118"/>
        <v>108.86</v>
      </c>
      <c r="I206" s="23">
        <f t="shared" si="118"/>
        <v>108.86</v>
      </c>
      <c r="J206" s="23">
        <f t="shared" ref="J206:J211" si="119">+I206</f>
        <v>108.86</v>
      </c>
      <c r="K206" s="23">
        <f t="shared" ref="K206:N211" si="120">+J206</f>
        <v>108.86</v>
      </c>
      <c r="L206" s="23">
        <f t="shared" si="120"/>
        <v>108.86</v>
      </c>
      <c r="M206" s="23">
        <f t="shared" si="120"/>
        <v>108.86</v>
      </c>
      <c r="N206" s="23">
        <f t="shared" si="120"/>
        <v>108.86</v>
      </c>
      <c r="O206" s="2">
        <v>6</v>
      </c>
    </row>
    <row r="207" spans="2:27" s="2" customFormat="1" ht="12.9" customHeight="1">
      <c r="B207" s="29" t="s">
        <v>54</v>
      </c>
      <c r="C207" s="16">
        <f t="shared" si="111"/>
        <v>92.21</v>
      </c>
      <c r="E207" s="29" t="s">
        <v>54</v>
      </c>
      <c r="F207" s="27">
        <v>92.21</v>
      </c>
      <c r="G207" s="23">
        <f t="shared" si="118"/>
        <v>92.21</v>
      </c>
      <c r="H207" s="23">
        <f t="shared" si="118"/>
        <v>92.21</v>
      </c>
      <c r="I207" s="23">
        <f t="shared" si="118"/>
        <v>92.21</v>
      </c>
      <c r="J207" s="23">
        <f t="shared" si="119"/>
        <v>92.21</v>
      </c>
      <c r="K207" s="23">
        <f t="shared" si="120"/>
        <v>92.21</v>
      </c>
      <c r="L207" s="23">
        <f t="shared" si="120"/>
        <v>92.21</v>
      </c>
      <c r="M207" s="23">
        <f t="shared" si="120"/>
        <v>92.21</v>
      </c>
      <c r="N207" s="23">
        <f t="shared" si="120"/>
        <v>92.21</v>
      </c>
      <c r="O207" s="2">
        <v>12</v>
      </c>
    </row>
    <row r="208" spans="2:27" s="2" customFormat="1" ht="12.9" customHeight="1">
      <c r="B208" s="29" t="s">
        <v>56</v>
      </c>
      <c r="C208" s="16">
        <f t="shared" si="111"/>
        <v>122.88</v>
      </c>
      <c r="E208" s="29" t="s">
        <v>56</v>
      </c>
      <c r="F208" s="27">
        <v>122.88</v>
      </c>
      <c r="G208" s="23">
        <f t="shared" si="118"/>
        <v>122.88</v>
      </c>
      <c r="H208" s="23">
        <f t="shared" si="118"/>
        <v>122.88</v>
      </c>
      <c r="I208" s="23">
        <f t="shared" si="118"/>
        <v>122.88</v>
      </c>
      <c r="J208" s="23">
        <f t="shared" si="119"/>
        <v>122.88</v>
      </c>
      <c r="K208" s="23">
        <f t="shared" si="120"/>
        <v>122.88</v>
      </c>
      <c r="L208" s="23">
        <f t="shared" si="120"/>
        <v>122.88</v>
      </c>
      <c r="M208" s="23">
        <f t="shared" si="120"/>
        <v>122.88</v>
      </c>
      <c r="N208" s="23">
        <f t="shared" si="120"/>
        <v>122.88</v>
      </c>
      <c r="O208" s="2">
        <v>18</v>
      </c>
    </row>
    <row r="209" spans="2:15" s="2" customFormat="1" ht="12.9" customHeight="1">
      <c r="B209" s="29" t="s">
        <v>58</v>
      </c>
      <c r="C209" s="16">
        <f t="shared" si="111"/>
        <v>168.17</v>
      </c>
      <c r="E209" s="29" t="s">
        <v>58</v>
      </c>
      <c r="F209" s="27">
        <v>168.17</v>
      </c>
      <c r="G209" s="23">
        <f t="shared" si="118"/>
        <v>168.17</v>
      </c>
      <c r="H209" s="23">
        <f t="shared" si="118"/>
        <v>168.17</v>
      </c>
      <c r="I209" s="23">
        <f t="shared" si="118"/>
        <v>168.17</v>
      </c>
      <c r="J209" s="23">
        <f t="shared" si="119"/>
        <v>168.17</v>
      </c>
      <c r="K209" s="23">
        <f t="shared" si="120"/>
        <v>168.17</v>
      </c>
      <c r="L209" s="23">
        <f t="shared" si="120"/>
        <v>168.17</v>
      </c>
      <c r="M209" s="23">
        <f t="shared" si="120"/>
        <v>168.17</v>
      </c>
      <c r="N209" s="23">
        <f t="shared" si="120"/>
        <v>168.17</v>
      </c>
      <c r="O209" s="2">
        <v>24</v>
      </c>
    </row>
    <row r="210" spans="2:15" s="2" customFormat="1" ht="12.9" customHeight="1">
      <c r="B210" s="29" t="s">
        <v>60</v>
      </c>
      <c r="C210" s="16">
        <f t="shared" si="111"/>
        <v>49.51</v>
      </c>
      <c r="E210" s="29" t="s">
        <v>60</v>
      </c>
      <c r="F210" s="27">
        <v>49.51</v>
      </c>
      <c r="G210" s="23">
        <f t="shared" si="118"/>
        <v>49.51</v>
      </c>
      <c r="H210" s="23">
        <f t="shared" si="118"/>
        <v>49.51</v>
      </c>
      <c r="I210" s="23">
        <f t="shared" si="118"/>
        <v>49.51</v>
      </c>
      <c r="J210" s="23">
        <f t="shared" si="119"/>
        <v>49.51</v>
      </c>
      <c r="K210" s="23">
        <f t="shared" si="120"/>
        <v>49.51</v>
      </c>
      <c r="L210" s="23">
        <f t="shared" si="120"/>
        <v>49.51</v>
      </c>
      <c r="M210" s="23">
        <f t="shared" si="120"/>
        <v>49.51</v>
      </c>
      <c r="N210" s="23"/>
      <c r="O210" s="2">
        <v>30</v>
      </c>
    </row>
    <row r="211" spans="2:15" s="2" customFormat="1" ht="12.9" customHeight="1">
      <c r="B211" s="29" t="s">
        <v>103</v>
      </c>
      <c r="C211" s="16">
        <f t="shared" si="111"/>
        <v>0</v>
      </c>
      <c r="E211" s="29" t="s">
        <v>103</v>
      </c>
      <c r="F211" s="32"/>
      <c r="G211" s="23">
        <f t="shared" si="118"/>
        <v>0</v>
      </c>
      <c r="H211" s="23">
        <f t="shared" si="118"/>
        <v>0</v>
      </c>
      <c r="I211" s="23">
        <f t="shared" si="118"/>
        <v>0</v>
      </c>
      <c r="J211" s="23">
        <f t="shared" si="119"/>
        <v>0</v>
      </c>
      <c r="K211" s="23">
        <f t="shared" si="120"/>
        <v>0</v>
      </c>
      <c r="L211" s="23">
        <f t="shared" si="120"/>
        <v>0</v>
      </c>
      <c r="M211" s="23">
        <f t="shared" si="120"/>
        <v>0</v>
      </c>
      <c r="N211" s="23">
        <f t="shared" si="120"/>
        <v>0</v>
      </c>
    </row>
    <row r="212" spans="2:15" s="2" customFormat="1" ht="12.9" customHeight="1">
      <c r="B212" s="29" t="s">
        <v>19</v>
      </c>
      <c r="C212" s="16">
        <f t="shared" si="111"/>
        <v>410.05</v>
      </c>
      <c r="E212" s="29" t="s">
        <v>19</v>
      </c>
      <c r="F212" s="30">
        <f>IF($C$1=F195,'Nómina mensual'!$H$29,0)</f>
        <v>0</v>
      </c>
      <c r="G212" s="30">
        <f>IF($C$1=G195,'Nómina mensual'!$H$29,0)</f>
        <v>0</v>
      </c>
      <c r="H212" s="30">
        <f>IF($C$1=H195,'Nómina mensual'!$H$29,0)</f>
        <v>0</v>
      </c>
      <c r="I212" s="30">
        <f>IF($C$1=I195,'Nómina mensual'!$H$29,0)</f>
        <v>410.05</v>
      </c>
      <c r="J212" s="30">
        <f>IF($C$1=J195,'Nómina mensual'!$H$29,0)</f>
        <v>0</v>
      </c>
      <c r="K212" s="30">
        <f>IF($C$1=K195,'Nómina mensual'!$H$29,0)</f>
        <v>0</v>
      </c>
      <c r="L212" s="30">
        <f>IF($C$1=L195,'Nómina mensual'!$H$29,0)</f>
        <v>0</v>
      </c>
      <c r="M212" s="30">
        <f>IF($C$1=M195,'Nómina mensual'!$H$29,0)</f>
        <v>0</v>
      </c>
      <c r="N212" s="23"/>
    </row>
    <row r="213" spans="2:15" s="2" customFormat="1" ht="12.9" customHeight="1">
      <c r="B213" s="31" t="s">
        <v>104</v>
      </c>
      <c r="C213" s="16">
        <f t="shared" si="111"/>
        <v>0</v>
      </c>
      <c r="E213" s="31" t="s">
        <v>104</v>
      </c>
      <c r="F213" s="23"/>
      <c r="G213" s="23"/>
      <c r="H213" s="23"/>
      <c r="I213" s="23"/>
      <c r="J213" s="23"/>
      <c r="K213" s="23"/>
      <c r="L213" s="23"/>
      <c r="M213" s="23"/>
      <c r="N213" s="23"/>
    </row>
    <row r="214" spans="2:15" s="2" customFormat="1" ht="12.9" customHeight="1">
      <c r="B214" s="31" t="s">
        <v>106</v>
      </c>
      <c r="C214" s="16">
        <f t="shared" si="111"/>
        <v>0</v>
      </c>
      <c r="E214" s="31" t="s">
        <v>106</v>
      </c>
      <c r="F214" s="23"/>
      <c r="G214" s="23"/>
      <c r="H214" s="23"/>
      <c r="I214" s="23"/>
      <c r="J214" s="23"/>
      <c r="K214" s="23"/>
      <c r="L214" s="23"/>
      <c r="M214" s="23"/>
      <c r="N214" s="23"/>
    </row>
    <row r="215" spans="2:15" s="2" customFormat="1" ht="12.9" customHeight="1">
      <c r="B215" s="31" t="s">
        <v>108</v>
      </c>
      <c r="C215" s="16">
        <f t="shared" si="111"/>
        <v>0</v>
      </c>
      <c r="E215" s="31" t="s">
        <v>108</v>
      </c>
      <c r="F215" s="23"/>
      <c r="G215" s="23"/>
      <c r="H215" s="23"/>
      <c r="I215" s="23"/>
      <c r="J215" s="23"/>
      <c r="K215" s="23"/>
      <c r="L215" s="23"/>
      <c r="M215" s="23"/>
      <c r="N215" s="23"/>
    </row>
    <row r="216" spans="2:15" s="2" customFormat="1" ht="12.9" customHeight="1">
      <c r="B216" s="33" t="s">
        <v>109</v>
      </c>
      <c r="C216" s="16">
        <f t="shared" si="111"/>
        <v>0</v>
      </c>
      <c r="E216" s="33" t="s">
        <v>109</v>
      </c>
      <c r="F216" s="27">
        <v>144.34</v>
      </c>
      <c r="G216" s="23"/>
      <c r="H216" s="23"/>
      <c r="I216" s="23"/>
      <c r="J216" s="23"/>
      <c r="K216" s="23"/>
      <c r="L216" s="23"/>
      <c r="M216" s="23"/>
      <c r="N216" s="23"/>
    </row>
    <row r="217" spans="2:15" s="2" customFormat="1" ht="12.9" customHeight="1">
      <c r="B217" s="34" t="s">
        <v>141</v>
      </c>
      <c r="C217" s="16">
        <f t="shared" si="111"/>
        <v>0</v>
      </c>
      <c r="E217" s="34" t="s">
        <v>141</v>
      </c>
      <c r="F217" s="23"/>
      <c r="G217" s="23"/>
      <c r="H217" s="23"/>
      <c r="I217" s="23"/>
      <c r="J217" s="23"/>
      <c r="K217" s="23"/>
      <c r="L217" s="23"/>
      <c r="M217" s="23"/>
      <c r="N217" s="23"/>
    </row>
    <row r="218" spans="2:15" s="2" customFormat="1" ht="12.9" customHeight="1">
      <c r="B218" s="34" t="s">
        <v>113</v>
      </c>
      <c r="C218" s="16">
        <f t="shared" si="111"/>
        <v>0</v>
      </c>
      <c r="E218" s="34" t="s">
        <v>113</v>
      </c>
      <c r="F218" s="23"/>
      <c r="G218" s="23"/>
      <c r="H218" s="23"/>
      <c r="I218" s="23"/>
      <c r="J218" s="23"/>
      <c r="K218" s="23"/>
      <c r="L218" s="23"/>
      <c r="M218" s="23"/>
      <c r="N218" s="23"/>
    </row>
    <row r="219" spans="2:15" s="2" customFormat="1" ht="12.9" customHeight="1">
      <c r="B219" s="34" t="s">
        <v>115</v>
      </c>
      <c r="C219" s="16">
        <f t="shared" si="111"/>
        <v>0</v>
      </c>
      <c r="E219" s="34" t="s">
        <v>115</v>
      </c>
      <c r="F219" s="23"/>
      <c r="G219" s="23"/>
      <c r="H219" s="23"/>
      <c r="I219" s="23"/>
      <c r="J219" s="23"/>
      <c r="K219" s="23"/>
      <c r="L219" s="23"/>
      <c r="M219" s="23"/>
      <c r="N219" s="23"/>
    </row>
    <row r="220" spans="2:15" s="2" customFormat="1" ht="12.9" customHeight="1">
      <c r="B220" s="35" t="s">
        <v>117</v>
      </c>
      <c r="C220" s="16">
        <f t="shared" si="111"/>
        <v>0</v>
      </c>
      <c r="E220" s="35" t="s">
        <v>117</v>
      </c>
      <c r="F220" s="23"/>
      <c r="G220" s="23"/>
      <c r="H220" s="23"/>
      <c r="I220" s="23"/>
      <c r="J220" s="23"/>
      <c r="K220" s="23"/>
      <c r="L220" s="23"/>
      <c r="M220" s="23"/>
      <c r="N220" s="23"/>
    </row>
    <row r="221" spans="2:15" s="2" customFormat="1" ht="12.9" customHeight="1">
      <c r="B221" s="39" t="s">
        <v>119</v>
      </c>
      <c r="C221" s="16">
        <f t="shared" si="111"/>
        <v>-51.68</v>
      </c>
      <c r="E221" s="39" t="s">
        <v>119</v>
      </c>
      <c r="F221" s="50">
        <f>+F77</f>
        <v>-40.68</v>
      </c>
      <c r="G221" s="50">
        <f t="shared" ref="G221:N221" si="121">+G77</f>
        <v>-40.68</v>
      </c>
      <c r="H221" s="50">
        <f t="shared" si="121"/>
        <v>-40.68</v>
      </c>
      <c r="I221" s="50">
        <f t="shared" si="121"/>
        <v>-51.68</v>
      </c>
      <c r="J221" s="50">
        <f t="shared" si="121"/>
        <v>-51.68</v>
      </c>
      <c r="K221" s="50">
        <f t="shared" si="121"/>
        <v>-51.68</v>
      </c>
      <c r="L221" s="50">
        <f t="shared" si="121"/>
        <v>-51.68</v>
      </c>
      <c r="M221" s="50">
        <f t="shared" si="121"/>
        <v>-51.68</v>
      </c>
      <c r="N221" s="50">
        <f t="shared" si="121"/>
        <v>-51.68</v>
      </c>
    </row>
    <row r="222" spans="2:15" s="2" customFormat="1" ht="12.9" customHeight="1">
      <c r="B222" s="39" t="s">
        <v>121</v>
      </c>
      <c r="C222" s="16">
        <f t="shared" si="111"/>
        <v>118.04</v>
      </c>
      <c r="E222" s="39" t="s">
        <v>121</v>
      </c>
      <c r="F222" s="50">
        <f>+F78</f>
        <v>-92.9</v>
      </c>
      <c r="G222" s="50">
        <f t="shared" ref="G222:N222" si="122">+G78</f>
        <v>-92.9</v>
      </c>
      <c r="H222" s="50">
        <f t="shared" si="122"/>
        <v>-92.9</v>
      </c>
      <c r="I222" s="50">
        <f t="shared" si="122"/>
        <v>118.04</v>
      </c>
      <c r="J222" s="50">
        <f t="shared" si="122"/>
        <v>118.04</v>
      </c>
      <c r="K222" s="50">
        <f t="shared" si="122"/>
        <v>118.04</v>
      </c>
      <c r="L222" s="50">
        <f t="shared" si="122"/>
        <v>118.04</v>
      </c>
      <c r="M222" s="50">
        <f t="shared" si="122"/>
        <v>118.04</v>
      </c>
      <c r="N222" s="50">
        <f t="shared" si="122"/>
        <v>118.04</v>
      </c>
    </row>
    <row r="223" spans="2:15">
      <c r="B223" s="41" t="s">
        <v>80</v>
      </c>
      <c r="C223" s="16">
        <f t="shared" si="111"/>
        <v>48303.319999999992</v>
      </c>
      <c r="E223" s="42" t="s">
        <v>80</v>
      </c>
      <c r="F223" s="3">
        <f>((+F198+F202+F203+F204)*12)+(F200*INT($C$3/3)*12)+((F199+F202)*2)+(F212*14)+((F203+F204)*2)+(F201*INT($C$3/3)*2)+((IF($C$4="s",F216,0))+(((IF(INT($C$3/3)&lt;6,F205,0))+(IF(AND(INT($C$3/6)&gt;0,INT($C$3/6)&lt;2),F206,0))+(IF(AND(INT($C$3/6)&gt;1,INT($C$3/6)&lt;3),F206+F207,0))+(IF(AND(INT($C$3/6)&gt;2,INT($C$3/6)&lt;4),F206+F207+F208,0))+(IF(AND(INT($C$3/6)&gt;3,INT($C$3/6)&lt;5),F206+F207+F208+F209,0))+(IF(INT($C$3/6)&gt;4,F206+F207+F208+F209+F210,0)))*12)+(IF($C$7="s",F211*12,0))++(((IF(INT($C$3/3)&lt;6,F205,0))+(IF(AND(INT($C$3/6)&gt;0,INT($C$3/6)&lt;2),F206,0))+(IF(AND(INT($C$3/6)&gt;1,INT($C$3/6)&lt;3),F206+F207,0))+(IF(AND(INT($C$3/6)&gt;2,INT($C$3/6)&lt;4),F206+F207+F208,0))+(IF(AND(INT($C$3/6)&gt;3,INT($C$3/6)&lt;5),F206+F207+F208+F209,0))+(IF(INT($C$3/6)&gt;4,F206+F207+F208+F209+F210,0)))*2)+(F217*12)+(F218*2))</f>
        <v>38207.120000000003</v>
      </c>
      <c r="G223" s="3">
        <f t="shared" ref="G223:I223" si="123">((+G198+G202+G203+G204)*12)+(G200*INT($C$3/3)*12)+((G199+G202)*2)+(G212*14)+((G203+G204)*2)+(G201*INT($C$3/3)*2)+((IF($C$4="s",G216,0))+(((IF(INT($C$3/3)&lt;6,G205,0))+(IF(AND(INT($C$3/6)&gt;0,INT($C$3/6)&lt;2),G206,0))+(IF(AND(INT($C$3/6)&gt;1,INT($C$3/6)&lt;3),G206+G207,0))+(IF(AND(INT($C$3/6)&gt;2,INT($C$3/6)&lt;4),G206+G207+G208,0))+(IF(AND(INT($C$3/6)&gt;3,INT($C$3/6)&lt;5),G206+G207+G208+G209,0))+(IF(INT($C$3/6)&gt;4,G206+G207+G208+G209+G210,0)))*12)+(IF($C$7="s",G211*12,0))++(((IF(INT($C$3/3)&lt;6,G205,0))+(IF(AND(INT($C$3/6)&gt;0,INT($C$3/6)&lt;2),G206,0))+(IF(AND(INT($C$3/6)&gt;1,INT($C$3/6)&lt;3),G206+G207,0))+(IF(AND(INT($C$3/6)&gt;2,INT($C$3/6)&lt;4),G206+G207+G208,0))+(IF(AND(INT($C$3/6)&gt;3,INT($C$3/6)&lt;5),G206+G207+G208+G209,0))+(IF(INT($C$3/6)&gt;4,G206+G207+G208+G209+G210,0)))*2)+(G217*12)+(G218*2))</f>
        <v>40226.9</v>
      </c>
      <c r="H223" s="3">
        <f t="shared" si="123"/>
        <v>40226.9</v>
      </c>
      <c r="I223" s="3">
        <f t="shared" si="123"/>
        <v>48303.319999999992</v>
      </c>
      <c r="J223" s="3">
        <f t="shared" ref="J223:N223" si="124">((+J198+J202+J203+J204)*12)+(J200*INT($C$3/3)*12)+((J199+J202)*2)+(J212*14)+((J203+J204)*2)+(J201*INT($C$3/3)*2)+((IF($C$4="s",J216,0))+(((IF(INT($C$3/3)&lt;6,J205,0))+(IF(AND(INT($C$3/6)&gt;0,INT($C$3/6)&lt;2),J206,0))+(IF(AND(INT($C$3/6)&gt;1,INT($C$3/6)&lt;3),J206+J207,0))+(IF(AND(INT($C$3/6)&gt;2,INT($C$3/6)&lt;4),J206+J207+J208,0))+(IF(AND(INT($C$3/6)&gt;3,INT($C$3/6)&lt;5),J206+J207+J208+J209,0))+(IF(INT($C$3/6)&gt;4,J206+J207+J208+J209+J210,0)))*12)+(IF($C$7="s",J211*12,0))++(((IF(INT($C$3/3)&lt;6,J205,0))+(IF(AND(INT($C$3/6)&gt;0,INT($C$3/6)&lt;2),J206,0))+(IF(AND(INT($C$3/6)&gt;1,INT($C$3/6)&lt;3),J206+J207,0))+(IF(AND(INT($C$3/6)&gt;2,INT($C$3/6)&lt;4),J206+J207+J208,0))+(IF(AND(INT($C$3/6)&gt;3,INT($C$3/6)&lt;5),J206+J207+J208+J209,0))+(IF(INT($C$3/6)&gt;4,J206+J207+J208+J209+J210,0)))*2)+(J217*12)+(J218*2))</f>
        <v>42562.619999999995</v>
      </c>
      <c r="K223" s="3">
        <f t="shared" si="124"/>
        <v>42562.619999999995</v>
      </c>
      <c r="L223" s="3">
        <f t="shared" si="124"/>
        <v>42562.619999999995</v>
      </c>
      <c r="M223" s="3">
        <f t="shared" si="124"/>
        <v>45600.619999999995</v>
      </c>
      <c r="N223" s="3">
        <f t="shared" si="124"/>
        <v>63278.28</v>
      </c>
    </row>
    <row r="230" spans="2:27" s="2" customFormat="1" ht="12.9" customHeight="1">
      <c r="B230" s="9"/>
      <c r="C230" s="2" t="str">
        <f>+E231</f>
        <v>Castilla La Mancha</v>
      </c>
    </row>
    <row r="231" spans="2:27" s="2" customFormat="1" ht="35.25" customHeight="1">
      <c r="C231" s="10" t="str">
        <f>+$C$11</f>
        <v>590-Profesores Enseñanza Secundaria</v>
      </c>
      <c r="E231" s="11" t="s">
        <v>31</v>
      </c>
      <c r="F231" s="12" t="s">
        <v>120</v>
      </c>
      <c r="G231" s="12" t="s">
        <v>110</v>
      </c>
      <c r="H231" s="12" t="s">
        <v>118</v>
      </c>
      <c r="I231" s="12" t="s">
        <v>4</v>
      </c>
      <c r="J231" s="12" t="s">
        <v>112</v>
      </c>
      <c r="K231" s="12" t="s">
        <v>114</v>
      </c>
      <c r="L231" s="12" t="s">
        <v>116</v>
      </c>
      <c r="M231" s="12" t="s">
        <v>107</v>
      </c>
      <c r="N231" s="12" t="s">
        <v>105</v>
      </c>
      <c r="O231" s="2" t="s">
        <v>200</v>
      </c>
      <c r="Q231" s="14" t="s">
        <v>137</v>
      </c>
      <c r="R231" s="14"/>
      <c r="S231" s="13"/>
      <c r="T231" s="13"/>
      <c r="U231" s="13"/>
      <c r="V231" s="13"/>
      <c r="W231" s="43" t="s">
        <v>138</v>
      </c>
      <c r="X231" s="13"/>
      <c r="Y231" s="13"/>
    </row>
    <row r="232" spans="2:27" s="2" customFormat="1" ht="12.9" customHeight="1">
      <c r="B232" s="44" t="s">
        <v>91</v>
      </c>
      <c r="C232" s="16" t="str">
        <f t="shared" ref="C232:C259" si="125">IF($C$11=$F$11,F232,IF($C$11=G$11,G232,IF($C$11=H$11,H232,IF($C$11=I$11,I232,IF($C$11=J$11,J232,IF($C$11=K$11,K232,IF($C$11=L$11,L232,IF($C$11=M$11,M232,N232))))))))</f>
        <v>A1</v>
      </c>
      <c r="E232" s="45" t="s">
        <v>91</v>
      </c>
      <c r="F232" s="17" t="s">
        <v>137</v>
      </c>
      <c r="G232" s="17" t="s">
        <v>137</v>
      </c>
      <c r="H232" s="17" t="s">
        <v>137</v>
      </c>
      <c r="I232" s="17" t="s">
        <v>138</v>
      </c>
      <c r="J232" s="17" t="s">
        <v>138</v>
      </c>
      <c r="K232" s="17" t="s">
        <v>138</v>
      </c>
      <c r="L232" s="17" t="s">
        <v>138</v>
      </c>
      <c r="M232" s="17" t="s">
        <v>138</v>
      </c>
      <c r="N232" s="17" t="s">
        <v>138</v>
      </c>
      <c r="R232" s="2" t="s">
        <v>20</v>
      </c>
      <c r="S232" s="2" t="s">
        <v>123</v>
      </c>
      <c r="T232" s="2" t="s">
        <v>126</v>
      </c>
      <c r="U232" s="2" t="s">
        <v>129</v>
      </c>
      <c r="V232" s="2" t="s">
        <v>130</v>
      </c>
      <c r="W232" s="2" t="s">
        <v>20</v>
      </c>
      <c r="X232" s="2" t="s">
        <v>123</v>
      </c>
      <c r="Y232" s="2" t="s">
        <v>126</v>
      </c>
      <c r="Z232" s="2" t="s">
        <v>129</v>
      </c>
      <c r="AA232" s="2" t="s">
        <v>130</v>
      </c>
    </row>
    <row r="233" spans="2:27" s="2" customFormat="1" ht="12.9" customHeight="1">
      <c r="B233" s="44" t="str">
        <f>+E233</f>
        <v>Nivel</v>
      </c>
      <c r="C233" s="16">
        <f t="shared" si="125"/>
        <v>24</v>
      </c>
      <c r="E233" s="45" t="s">
        <v>144</v>
      </c>
      <c r="F233" s="17">
        <v>21</v>
      </c>
      <c r="G233" s="17">
        <v>24</v>
      </c>
      <c r="H233" s="17">
        <v>24</v>
      </c>
      <c r="I233" s="17">
        <v>24</v>
      </c>
      <c r="J233" s="17">
        <v>24</v>
      </c>
      <c r="K233" s="17">
        <v>24</v>
      </c>
      <c r="L233" s="17">
        <v>24</v>
      </c>
      <c r="M233" s="17">
        <v>26</v>
      </c>
      <c r="N233" s="17">
        <v>26</v>
      </c>
      <c r="Q233" s="2" t="s">
        <v>124</v>
      </c>
      <c r="R233" s="2">
        <v>0</v>
      </c>
      <c r="S233" s="19">
        <v>830.65</v>
      </c>
      <c r="T233" s="19"/>
      <c r="U233" s="19">
        <v>569.94000000000005</v>
      </c>
      <c r="V233" s="19">
        <v>569.94000000000005</v>
      </c>
      <c r="W233" s="2">
        <v>0</v>
      </c>
      <c r="X233" s="19">
        <v>924.56</v>
      </c>
      <c r="Y233" s="19"/>
      <c r="Z233" s="19">
        <v>703.15</v>
      </c>
      <c r="AA233" s="19">
        <v>703.15</v>
      </c>
    </row>
    <row r="234" spans="2:27" s="2" customFormat="1" ht="12.9" customHeight="1">
      <c r="B234" s="22" t="s">
        <v>43</v>
      </c>
      <c r="C234" s="16">
        <f t="shared" si="125"/>
        <v>1387.24</v>
      </c>
      <c r="E234" s="22" t="s">
        <v>43</v>
      </c>
      <c r="F234" s="23">
        <f t="shared" ref="F234:I237" si="126">+F54</f>
        <v>1199.52</v>
      </c>
      <c r="G234" s="23">
        <f t="shared" si="126"/>
        <v>1199.52</v>
      </c>
      <c r="H234" s="23">
        <f t="shared" si="126"/>
        <v>1199.52</v>
      </c>
      <c r="I234" s="23">
        <f t="shared" si="126"/>
        <v>1387.24</v>
      </c>
      <c r="J234" s="23">
        <f t="shared" ref="J234:N237" si="127">+I234</f>
        <v>1387.24</v>
      </c>
      <c r="K234" s="23">
        <f t="shared" si="127"/>
        <v>1387.24</v>
      </c>
      <c r="L234" s="23">
        <f t="shared" si="127"/>
        <v>1387.24</v>
      </c>
      <c r="M234" s="23">
        <f t="shared" si="127"/>
        <v>1387.24</v>
      </c>
      <c r="N234" s="23">
        <f t="shared" si="127"/>
        <v>1387.24</v>
      </c>
      <c r="Q234" s="2" t="s">
        <v>127</v>
      </c>
      <c r="R234" s="2">
        <v>0</v>
      </c>
      <c r="S234" s="19">
        <v>783.12</v>
      </c>
      <c r="T234" s="19"/>
      <c r="U234" s="19">
        <v>523.53</v>
      </c>
      <c r="V234" s="19">
        <v>523.53</v>
      </c>
      <c r="W234" s="2">
        <v>0</v>
      </c>
      <c r="X234" s="19">
        <v>831.41</v>
      </c>
      <c r="Y234" s="19"/>
      <c r="Z234" s="19">
        <v>644.48</v>
      </c>
      <c r="AA234" s="19">
        <v>644.48</v>
      </c>
    </row>
    <row r="235" spans="2:27" s="2" customFormat="1" ht="12.9" customHeight="1">
      <c r="B235" s="22" t="s">
        <v>92</v>
      </c>
      <c r="C235" s="16">
        <f t="shared" si="125"/>
        <v>856.05</v>
      </c>
      <c r="E235" s="22" t="s">
        <v>92</v>
      </c>
      <c r="F235" s="25">
        <f t="shared" si="126"/>
        <v>874.83</v>
      </c>
      <c r="G235" s="25">
        <f t="shared" si="126"/>
        <v>874.83</v>
      </c>
      <c r="H235" s="25">
        <f t="shared" si="126"/>
        <v>874.83</v>
      </c>
      <c r="I235" s="25">
        <f t="shared" si="126"/>
        <v>856.05</v>
      </c>
      <c r="J235" s="23">
        <f t="shared" si="127"/>
        <v>856.05</v>
      </c>
      <c r="K235" s="23">
        <f t="shared" si="127"/>
        <v>856.05</v>
      </c>
      <c r="L235" s="23">
        <f t="shared" si="127"/>
        <v>856.05</v>
      </c>
      <c r="M235" s="23">
        <f t="shared" si="127"/>
        <v>856.05</v>
      </c>
      <c r="N235" s="23">
        <f t="shared" si="127"/>
        <v>856.05</v>
      </c>
      <c r="Q235" s="2" t="s">
        <v>22</v>
      </c>
      <c r="R235" s="2">
        <v>0</v>
      </c>
      <c r="S235" s="19">
        <v>645.26</v>
      </c>
      <c r="T235" s="19"/>
      <c r="U235" s="19">
        <v>477.19</v>
      </c>
      <c r="V235" s="19">
        <v>477.19</v>
      </c>
      <c r="W235" s="2">
        <v>0</v>
      </c>
      <c r="X235" s="19">
        <v>783.39</v>
      </c>
      <c r="Y235" s="19"/>
      <c r="Z235" s="19">
        <v>597.33000000000004</v>
      </c>
      <c r="AA235" s="19">
        <v>597.33000000000004</v>
      </c>
    </row>
    <row r="236" spans="2:27" s="2" customFormat="1" ht="12.9" customHeight="1">
      <c r="B236" s="22" t="s">
        <v>93</v>
      </c>
      <c r="C236" s="16">
        <f t="shared" si="125"/>
        <v>53.39</v>
      </c>
      <c r="E236" s="22" t="s">
        <v>93</v>
      </c>
      <c r="F236" s="23">
        <f t="shared" si="126"/>
        <v>43.54</v>
      </c>
      <c r="G236" s="23">
        <f t="shared" si="126"/>
        <v>43.54</v>
      </c>
      <c r="H236" s="23">
        <f t="shared" si="126"/>
        <v>43.54</v>
      </c>
      <c r="I236" s="23">
        <f t="shared" si="126"/>
        <v>53.39</v>
      </c>
      <c r="J236" s="23">
        <f t="shared" si="127"/>
        <v>53.39</v>
      </c>
      <c r="K236" s="23">
        <f t="shared" si="127"/>
        <v>53.39</v>
      </c>
      <c r="L236" s="23">
        <f t="shared" si="127"/>
        <v>53.39</v>
      </c>
      <c r="M236" s="23">
        <f t="shared" si="127"/>
        <v>53.39</v>
      </c>
      <c r="N236" s="23">
        <f t="shared" si="127"/>
        <v>53.39</v>
      </c>
      <c r="Q236" s="2" t="s">
        <v>131</v>
      </c>
      <c r="R236" s="2">
        <v>0</v>
      </c>
      <c r="S236" s="19">
        <v>528.33000000000004</v>
      </c>
      <c r="T236" s="19"/>
      <c r="U236" s="19">
        <v>409.92</v>
      </c>
      <c r="V236" s="19">
        <v>409.92</v>
      </c>
      <c r="W236" s="2">
        <v>0</v>
      </c>
      <c r="X236" s="19">
        <v>740.87</v>
      </c>
      <c r="Y236" s="19"/>
      <c r="Z236" s="19">
        <v>562.02</v>
      </c>
      <c r="AA236" s="19">
        <v>562.02</v>
      </c>
    </row>
    <row r="237" spans="2:27" s="2" customFormat="1" ht="12.9" customHeight="1">
      <c r="B237" s="22" t="s">
        <v>95</v>
      </c>
      <c r="C237" s="16">
        <f t="shared" si="125"/>
        <v>32.96</v>
      </c>
      <c r="E237" s="22" t="s">
        <v>95</v>
      </c>
      <c r="F237" s="25">
        <f t="shared" si="126"/>
        <v>31.74</v>
      </c>
      <c r="G237" s="25">
        <f t="shared" si="126"/>
        <v>31.74</v>
      </c>
      <c r="H237" s="25">
        <f t="shared" si="126"/>
        <v>31.74</v>
      </c>
      <c r="I237" s="25">
        <f t="shared" si="126"/>
        <v>32.96</v>
      </c>
      <c r="J237" s="23">
        <f t="shared" si="127"/>
        <v>32.96</v>
      </c>
      <c r="K237" s="23">
        <f t="shared" si="127"/>
        <v>32.96</v>
      </c>
      <c r="L237" s="23">
        <f t="shared" si="127"/>
        <v>32.96</v>
      </c>
      <c r="M237" s="23">
        <f t="shared" si="127"/>
        <v>32.96</v>
      </c>
      <c r="N237" s="23">
        <f t="shared" si="127"/>
        <v>32.96</v>
      </c>
      <c r="Q237" s="2" t="s">
        <v>133</v>
      </c>
      <c r="R237" s="2">
        <v>0</v>
      </c>
      <c r="S237" s="19">
        <v>422.26</v>
      </c>
      <c r="T237" s="26"/>
      <c r="U237" s="19">
        <v>356.77</v>
      </c>
      <c r="V237" s="19">
        <v>356.77</v>
      </c>
      <c r="W237" s="2">
        <v>0</v>
      </c>
      <c r="X237" s="26"/>
      <c r="Y237" s="26"/>
      <c r="Z237" s="19"/>
      <c r="AA237" s="26"/>
    </row>
    <row r="238" spans="2:27" s="2" customFormat="1" ht="12.9" customHeight="1">
      <c r="B238" s="22" t="s">
        <v>46</v>
      </c>
      <c r="C238" s="16">
        <f t="shared" si="125"/>
        <v>729.14</v>
      </c>
      <c r="E238" s="22" t="s">
        <v>46</v>
      </c>
      <c r="F238" s="23">
        <f>+F58</f>
        <v>592.11</v>
      </c>
      <c r="G238" s="23">
        <f>+G58</f>
        <v>729.14</v>
      </c>
      <c r="H238" s="23">
        <f t="shared" ref="H238:N238" si="128">+H58</f>
        <v>729.14</v>
      </c>
      <c r="I238" s="23">
        <f t="shared" si="128"/>
        <v>729.14</v>
      </c>
      <c r="J238" s="23">
        <f t="shared" si="128"/>
        <v>729.14</v>
      </c>
      <c r="K238" s="23">
        <f t="shared" si="128"/>
        <v>729.14</v>
      </c>
      <c r="L238" s="23">
        <f t="shared" si="128"/>
        <v>729.14</v>
      </c>
      <c r="M238" s="55">
        <f t="shared" si="128"/>
        <v>873.38</v>
      </c>
      <c r="N238" s="55">
        <f t="shared" si="128"/>
        <v>873.38</v>
      </c>
      <c r="Q238" s="2" t="s">
        <v>134</v>
      </c>
      <c r="R238" s="2">
        <v>0</v>
      </c>
      <c r="S238" s="19">
        <v>312.52</v>
      </c>
      <c r="T238" s="26"/>
      <c r="U238" s="26"/>
      <c r="V238" s="26"/>
      <c r="W238" s="2">
        <v>0</v>
      </c>
      <c r="X238" s="26"/>
      <c r="Y238" s="26"/>
      <c r="Z238" s="19"/>
      <c r="AA238" s="26"/>
    </row>
    <row r="239" spans="2:27" s="2" customFormat="1" ht="12.9" customHeight="1">
      <c r="B239" s="22" t="s">
        <v>48</v>
      </c>
      <c r="C239" s="16">
        <f t="shared" si="125"/>
        <v>282</v>
      </c>
      <c r="E239" s="22" t="s">
        <v>48</v>
      </c>
      <c r="F239" s="27">
        <v>282</v>
      </c>
      <c r="G239" s="23">
        <f t="shared" ref="G239:L240" si="129">+F239</f>
        <v>282</v>
      </c>
      <c r="H239" s="23">
        <f t="shared" si="129"/>
        <v>282</v>
      </c>
      <c r="I239" s="23">
        <f t="shared" si="129"/>
        <v>282</v>
      </c>
      <c r="J239" s="23">
        <f t="shared" si="129"/>
        <v>282</v>
      </c>
      <c r="K239" s="23">
        <f t="shared" si="129"/>
        <v>282</v>
      </c>
      <c r="L239" s="23">
        <f t="shared" si="129"/>
        <v>282</v>
      </c>
      <c r="M239" s="82">
        <v>341.92</v>
      </c>
      <c r="N239" s="27">
        <v>375.48</v>
      </c>
      <c r="O239" s="2" t="s">
        <v>201</v>
      </c>
    </row>
    <row r="240" spans="2:27" s="2" customFormat="1" ht="12.9" customHeight="1">
      <c r="B240" s="29" t="s">
        <v>49</v>
      </c>
      <c r="C240" s="16">
        <f t="shared" si="125"/>
        <v>585.97</v>
      </c>
      <c r="E240" s="29" t="s">
        <v>49</v>
      </c>
      <c r="F240" s="27">
        <v>585.97</v>
      </c>
      <c r="G240" s="23">
        <f t="shared" si="129"/>
        <v>585.97</v>
      </c>
      <c r="H240" s="23">
        <f t="shared" ref="H240" si="130">+G240</f>
        <v>585.97</v>
      </c>
      <c r="I240" s="23">
        <f t="shared" ref="I240" si="131">+H240</f>
        <v>585.97</v>
      </c>
      <c r="J240" s="23">
        <f t="shared" ref="J240" si="132">+I240</f>
        <v>585.97</v>
      </c>
      <c r="K240" s="23">
        <f t="shared" ref="K240:M240" si="133">+J240</f>
        <v>585.97</v>
      </c>
      <c r="L240" s="23">
        <f t="shared" si="133"/>
        <v>585.97</v>
      </c>
      <c r="M240" s="23">
        <f t="shared" si="133"/>
        <v>585.97</v>
      </c>
      <c r="N240" s="23">
        <f>SUM(M240,O240)</f>
        <v>1634.02</v>
      </c>
      <c r="O240" s="19">
        <v>1048.05</v>
      </c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26"/>
    </row>
    <row r="241" spans="2:15" s="2" customFormat="1" ht="12.9" customHeight="1">
      <c r="B241" s="29" t="s">
        <v>98</v>
      </c>
      <c r="C241" s="16">
        <f t="shared" si="125"/>
        <v>0</v>
      </c>
      <c r="E241" s="29" t="s">
        <v>98</v>
      </c>
      <c r="F241" s="23"/>
      <c r="G241" s="23"/>
      <c r="H241" s="23"/>
      <c r="I241" s="23"/>
      <c r="J241" s="23"/>
      <c r="K241" s="23"/>
      <c r="L241" s="23"/>
      <c r="M241" s="23"/>
      <c r="N241" s="23"/>
    </row>
    <row r="242" spans="2:15" s="2" customFormat="1" ht="12.9" customHeight="1">
      <c r="B242" s="29" t="s">
        <v>52</v>
      </c>
      <c r="C242" s="16">
        <f t="shared" si="125"/>
        <v>90.35</v>
      </c>
      <c r="E242" s="29" t="s">
        <v>52</v>
      </c>
      <c r="F242" s="27">
        <v>90.35</v>
      </c>
      <c r="G242" s="23">
        <f t="shared" ref="G242:I247" si="134">+F242</f>
        <v>90.35</v>
      </c>
      <c r="H242" s="23">
        <f t="shared" si="134"/>
        <v>90.35</v>
      </c>
      <c r="I242" s="23">
        <f t="shared" si="134"/>
        <v>90.35</v>
      </c>
      <c r="J242" s="23">
        <f t="shared" ref="J242:N247" si="135">+I242</f>
        <v>90.35</v>
      </c>
      <c r="K242" s="23">
        <f t="shared" si="135"/>
        <v>90.35</v>
      </c>
      <c r="L242" s="23">
        <f t="shared" si="135"/>
        <v>90.35</v>
      </c>
      <c r="M242" s="23">
        <f t="shared" si="135"/>
        <v>90.35</v>
      </c>
      <c r="N242" s="23">
        <f t="shared" si="135"/>
        <v>90.35</v>
      </c>
      <c r="O242" s="2">
        <v>6</v>
      </c>
    </row>
    <row r="243" spans="2:15" s="2" customFormat="1" ht="12.9" customHeight="1">
      <c r="B243" s="29" t="s">
        <v>54</v>
      </c>
      <c r="C243" s="16">
        <f t="shared" si="125"/>
        <v>84.89</v>
      </c>
      <c r="E243" s="29" t="s">
        <v>54</v>
      </c>
      <c r="F243" s="27">
        <v>84.89</v>
      </c>
      <c r="G243" s="23">
        <f t="shared" si="134"/>
        <v>84.89</v>
      </c>
      <c r="H243" s="23">
        <f t="shared" si="134"/>
        <v>84.89</v>
      </c>
      <c r="I243" s="23">
        <f t="shared" si="134"/>
        <v>84.89</v>
      </c>
      <c r="J243" s="23">
        <f t="shared" si="135"/>
        <v>84.89</v>
      </c>
      <c r="K243" s="23">
        <f t="shared" si="135"/>
        <v>84.89</v>
      </c>
      <c r="L243" s="23">
        <f t="shared" si="135"/>
        <v>84.89</v>
      </c>
      <c r="M243" s="23">
        <f t="shared" si="135"/>
        <v>84.89</v>
      </c>
      <c r="N243" s="23">
        <f t="shared" si="135"/>
        <v>84.89</v>
      </c>
      <c r="O243" s="2">
        <v>12</v>
      </c>
    </row>
    <row r="244" spans="2:15" s="2" customFormat="1" ht="12.9" customHeight="1">
      <c r="B244" s="29" t="s">
        <v>56</v>
      </c>
      <c r="C244" s="16">
        <f t="shared" si="125"/>
        <v>113.11</v>
      </c>
      <c r="E244" s="29" t="s">
        <v>56</v>
      </c>
      <c r="F244" s="27">
        <v>113.11</v>
      </c>
      <c r="G244" s="23">
        <f t="shared" si="134"/>
        <v>113.11</v>
      </c>
      <c r="H244" s="23">
        <f t="shared" si="134"/>
        <v>113.11</v>
      </c>
      <c r="I244" s="23">
        <f t="shared" si="134"/>
        <v>113.11</v>
      </c>
      <c r="J244" s="23">
        <f t="shared" si="135"/>
        <v>113.11</v>
      </c>
      <c r="K244" s="23">
        <f t="shared" si="135"/>
        <v>113.11</v>
      </c>
      <c r="L244" s="23">
        <f t="shared" si="135"/>
        <v>113.11</v>
      </c>
      <c r="M244" s="23">
        <f t="shared" si="135"/>
        <v>113.11</v>
      </c>
      <c r="N244" s="23">
        <f t="shared" si="135"/>
        <v>113.11</v>
      </c>
      <c r="O244" s="2">
        <v>18</v>
      </c>
    </row>
    <row r="245" spans="2:15" s="2" customFormat="1" ht="12.9" customHeight="1">
      <c r="B245" s="29" t="s">
        <v>58</v>
      </c>
      <c r="C245" s="16">
        <f t="shared" si="125"/>
        <v>154.79</v>
      </c>
      <c r="E245" s="29" t="s">
        <v>58</v>
      </c>
      <c r="F245" s="27">
        <v>154.79</v>
      </c>
      <c r="G245" s="23">
        <f t="shared" si="134"/>
        <v>154.79</v>
      </c>
      <c r="H245" s="23">
        <f t="shared" si="134"/>
        <v>154.79</v>
      </c>
      <c r="I245" s="23">
        <f t="shared" si="134"/>
        <v>154.79</v>
      </c>
      <c r="J245" s="23">
        <f t="shared" si="135"/>
        <v>154.79</v>
      </c>
      <c r="K245" s="23">
        <f t="shared" si="135"/>
        <v>154.79</v>
      </c>
      <c r="L245" s="23">
        <f t="shared" si="135"/>
        <v>154.79</v>
      </c>
      <c r="M245" s="23">
        <f t="shared" si="135"/>
        <v>154.79</v>
      </c>
      <c r="N245" s="23">
        <f t="shared" si="135"/>
        <v>154.79</v>
      </c>
      <c r="O245" s="2">
        <v>24</v>
      </c>
    </row>
    <row r="246" spans="2:15" s="2" customFormat="1" ht="12.9" customHeight="1">
      <c r="B246" s="29" t="s">
        <v>60</v>
      </c>
      <c r="C246" s="16">
        <f t="shared" si="125"/>
        <v>59.41</v>
      </c>
      <c r="E246" s="29" t="s">
        <v>60</v>
      </c>
      <c r="F246" s="27">
        <v>59.41</v>
      </c>
      <c r="G246" s="23">
        <f t="shared" si="134"/>
        <v>59.41</v>
      </c>
      <c r="H246" s="23">
        <f t="shared" si="134"/>
        <v>59.41</v>
      </c>
      <c r="I246" s="23">
        <f t="shared" si="134"/>
        <v>59.41</v>
      </c>
      <c r="J246" s="23">
        <f t="shared" si="135"/>
        <v>59.41</v>
      </c>
      <c r="K246" s="23">
        <f t="shared" si="135"/>
        <v>59.41</v>
      </c>
      <c r="L246" s="23">
        <f t="shared" si="135"/>
        <v>59.41</v>
      </c>
      <c r="M246" s="23">
        <f t="shared" si="135"/>
        <v>59.41</v>
      </c>
      <c r="N246" s="23">
        <f t="shared" si="135"/>
        <v>59.41</v>
      </c>
      <c r="O246" s="2">
        <v>30</v>
      </c>
    </row>
    <row r="247" spans="2:15" s="2" customFormat="1" ht="12.9" customHeight="1">
      <c r="B247" s="29" t="s">
        <v>103</v>
      </c>
      <c r="C247" s="16">
        <f t="shared" si="125"/>
        <v>0</v>
      </c>
      <c r="E247" s="29" t="s">
        <v>103</v>
      </c>
      <c r="F247" s="32"/>
      <c r="G247" s="23">
        <f t="shared" si="134"/>
        <v>0</v>
      </c>
      <c r="H247" s="23">
        <f t="shared" si="134"/>
        <v>0</v>
      </c>
      <c r="I247" s="23">
        <f t="shared" si="134"/>
        <v>0</v>
      </c>
      <c r="J247" s="23">
        <f t="shared" si="135"/>
        <v>0</v>
      </c>
      <c r="K247" s="23">
        <f t="shared" si="135"/>
        <v>0</v>
      </c>
      <c r="L247" s="23">
        <f t="shared" si="135"/>
        <v>0</v>
      </c>
      <c r="M247" s="23">
        <f t="shared" si="135"/>
        <v>0</v>
      </c>
      <c r="N247" s="23"/>
    </row>
    <row r="248" spans="2:15" s="2" customFormat="1" ht="12.9" customHeight="1">
      <c r="B248" s="29" t="s">
        <v>19</v>
      </c>
      <c r="C248" s="16">
        <f t="shared" si="125"/>
        <v>0</v>
      </c>
      <c r="E248" s="29" t="s">
        <v>19</v>
      </c>
      <c r="F248" s="30">
        <f>IF($C$1=F231,'Nómina mensual'!$I$29,0)</f>
        <v>0</v>
      </c>
      <c r="G248" s="30">
        <f>IF($C$1=G231,'Nómina mensual'!$I$29,0)</f>
        <v>0</v>
      </c>
      <c r="H248" s="30">
        <f>IF($C$1=H231,'Nómina mensual'!$I$29,0)</f>
        <v>0</v>
      </c>
      <c r="I248" s="30">
        <f>IF($C$1=I231,'Nómina mensual'!$I$29,0)</f>
        <v>0</v>
      </c>
      <c r="J248" s="30">
        <f>IF($C$1=J231,'Nómina mensual'!$I$29,0)</f>
        <v>0</v>
      </c>
      <c r="K248" s="30">
        <f>IF($C$1=K231,'Nómina mensual'!$I$29,0)</f>
        <v>0</v>
      </c>
      <c r="L248" s="30">
        <f>IF($C$1=L231,'Nómina mensual'!$I$29,0)</f>
        <v>0</v>
      </c>
      <c r="M248" s="30">
        <f>IF($C$1=M231,'Nómina mensual'!$I$29,0)</f>
        <v>0</v>
      </c>
      <c r="N248" s="23"/>
    </row>
    <row r="249" spans="2:15" s="2" customFormat="1" ht="12.9" customHeight="1">
      <c r="B249" s="31" t="s">
        <v>104</v>
      </c>
      <c r="C249" s="16">
        <f t="shared" si="125"/>
        <v>0</v>
      </c>
      <c r="E249" s="31" t="s">
        <v>104</v>
      </c>
      <c r="F249" s="23"/>
      <c r="G249" s="23"/>
      <c r="H249" s="23"/>
      <c r="I249" s="23"/>
      <c r="J249" s="23"/>
      <c r="K249" s="23"/>
      <c r="L249" s="23"/>
      <c r="M249" s="23"/>
      <c r="N249" s="23"/>
    </row>
    <row r="250" spans="2:15" s="2" customFormat="1" ht="12.9" customHeight="1">
      <c r="B250" s="31" t="s">
        <v>106</v>
      </c>
      <c r="C250" s="16">
        <f t="shared" si="125"/>
        <v>0</v>
      </c>
      <c r="E250" s="31" t="s">
        <v>106</v>
      </c>
      <c r="F250" s="23"/>
      <c r="G250" s="23"/>
      <c r="H250" s="23"/>
      <c r="I250" s="23"/>
      <c r="J250" s="23"/>
      <c r="K250" s="23"/>
      <c r="L250" s="23"/>
      <c r="M250" s="23"/>
      <c r="N250" s="23"/>
    </row>
    <row r="251" spans="2:15" s="2" customFormat="1" ht="12.9" customHeight="1">
      <c r="B251" s="31" t="s">
        <v>108</v>
      </c>
      <c r="C251" s="16">
        <f t="shared" si="125"/>
        <v>0</v>
      </c>
      <c r="E251" s="31" t="s">
        <v>108</v>
      </c>
      <c r="F251" s="23"/>
      <c r="G251" s="23"/>
      <c r="H251" s="23"/>
      <c r="I251" s="23"/>
      <c r="J251" s="23"/>
      <c r="K251" s="23"/>
      <c r="L251" s="23"/>
      <c r="M251" s="23"/>
      <c r="N251" s="23"/>
    </row>
    <row r="252" spans="2:15" s="2" customFormat="1" ht="12.9" customHeight="1">
      <c r="B252" s="33" t="s">
        <v>109</v>
      </c>
      <c r="C252" s="16">
        <f t="shared" si="125"/>
        <v>0</v>
      </c>
      <c r="E252" s="33" t="s">
        <v>109</v>
      </c>
      <c r="F252" s="23"/>
      <c r="G252" s="23"/>
      <c r="H252" s="23"/>
      <c r="I252" s="23"/>
      <c r="J252" s="23"/>
      <c r="K252" s="23"/>
      <c r="L252" s="23"/>
      <c r="M252" s="23"/>
      <c r="N252" s="23"/>
    </row>
    <row r="253" spans="2:15" s="2" customFormat="1" ht="12.9" customHeight="1">
      <c r="B253" s="34" t="s">
        <v>141</v>
      </c>
      <c r="C253" s="16">
        <f t="shared" si="125"/>
        <v>0</v>
      </c>
      <c r="E253" s="34" t="s">
        <v>141</v>
      </c>
      <c r="F253" s="23"/>
      <c r="G253" s="23"/>
      <c r="H253" s="23"/>
      <c r="I253" s="23"/>
      <c r="J253" s="23"/>
      <c r="K253" s="23"/>
      <c r="L253" s="23"/>
      <c r="M253" s="23"/>
      <c r="N253" s="23"/>
    </row>
    <row r="254" spans="2:15" s="2" customFormat="1" ht="12.9" customHeight="1">
      <c r="B254" s="34" t="s">
        <v>113</v>
      </c>
      <c r="C254" s="16">
        <f t="shared" si="125"/>
        <v>0</v>
      </c>
      <c r="E254" s="34" t="s">
        <v>113</v>
      </c>
      <c r="F254" s="23"/>
      <c r="G254" s="23"/>
      <c r="H254" s="23"/>
      <c r="I254" s="23"/>
      <c r="J254" s="23"/>
      <c r="K254" s="23"/>
      <c r="L254" s="23"/>
      <c r="M254" s="23"/>
      <c r="N254" s="23"/>
    </row>
    <row r="255" spans="2:15" s="2" customFormat="1" ht="12.9" customHeight="1">
      <c r="B255" s="34" t="s">
        <v>115</v>
      </c>
      <c r="C255" s="16">
        <f t="shared" si="125"/>
        <v>0</v>
      </c>
      <c r="E255" s="34" t="s">
        <v>115</v>
      </c>
      <c r="F255" s="23"/>
      <c r="G255" s="23"/>
      <c r="H255" s="23"/>
      <c r="I255" s="23"/>
      <c r="J255" s="23"/>
      <c r="K255" s="23"/>
      <c r="L255" s="23"/>
      <c r="M255" s="23"/>
      <c r="N255" s="23"/>
    </row>
    <row r="256" spans="2:15" s="2" customFormat="1" ht="12.9" customHeight="1">
      <c r="B256" s="35" t="s">
        <v>117</v>
      </c>
      <c r="C256" s="16">
        <f t="shared" si="125"/>
        <v>0</v>
      </c>
      <c r="E256" s="35" t="s">
        <v>117</v>
      </c>
      <c r="F256" s="23"/>
      <c r="G256" s="23"/>
      <c r="H256" s="23"/>
      <c r="I256" s="23"/>
      <c r="J256" s="23"/>
      <c r="K256" s="23"/>
      <c r="L256" s="23"/>
      <c r="M256" s="23"/>
      <c r="N256" s="23"/>
    </row>
    <row r="257" spans="2:27" s="2" customFormat="1" ht="12.9" customHeight="1">
      <c r="B257" s="39" t="s">
        <v>119</v>
      </c>
      <c r="C257" s="16">
        <f t="shared" si="125"/>
        <v>-51.68</v>
      </c>
      <c r="E257" s="39" t="s">
        <v>119</v>
      </c>
      <c r="F257" s="50">
        <f>+F77</f>
        <v>-40.68</v>
      </c>
      <c r="G257" s="50">
        <f t="shared" ref="G257:N257" si="136">+G77</f>
        <v>-40.68</v>
      </c>
      <c r="H257" s="50">
        <f t="shared" si="136"/>
        <v>-40.68</v>
      </c>
      <c r="I257" s="50">
        <f t="shared" si="136"/>
        <v>-51.68</v>
      </c>
      <c r="J257" s="50">
        <f t="shared" si="136"/>
        <v>-51.68</v>
      </c>
      <c r="K257" s="50">
        <f t="shared" si="136"/>
        <v>-51.68</v>
      </c>
      <c r="L257" s="50">
        <f t="shared" si="136"/>
        <v>-51.68</v>
      </c>
      <c r="M257" s="50">
        <f t="shared" si="136"/>
        <v>-51.68</v>
      </c>
      <c r="N257" s="50">
        <f t="shared" si="136"/>
        <v>-51.68</v>
      </c>
    </row>
    <row r="258" spans="2:27" s="2" customFormat="1" ht="12.9" customHeight="1">
      <c r="B258" s="39" t="s">
        <v>121</v>
      </c>
      <c r="C258" s="16">
        <f t="shared" si="125"/>
        <v>118.04</v>
      </c>
      <c r="E258" s="39" t="s">
        <v>121</v>
      </c>
      <c r="F258" s="50">
        <f>+F78</f>
        <v>-92.9</v>
      </c>
      <c r="G258" s="50">
        <f t="shared" ref="G258:N258" si="137">+G78</f>
        <v>-92.9</v>
      </c>
      <c r="H258" s="50">
        <f t="shared" si="137"/>
        <v>-92.9</v>
      </c>
      <c r="I258" s="50">
        <f t="shared" si="137"/>
        <v>118.04</v>
      </c>
      <c r="J258" s="50">
        <f t="shared" si="137"/>
        <v>118.04</v>
      </c>
      <c r="K258" s="50">
        <f t="shared" si="137"/>
        <v>118.04</v>
      </c>
      <c r="L258" s="50">
        <f t="shared" si="137"/>
        <v>118.04</v>
      </c>
      <c r="M258" s="50">
        <f t="shared" si="137"/>
        <v>118.04</v>
      </c>
      <c r="N258" s="50">
        <f t="shared" si="137"/>
        <v>118.04</v>
      </c>
    </row>
    <row r="259" spans="2:27">
      <c r="B259" s="41" t="s">
        <v>80</v>
      </c>
      <c r="C259" s="16">
        <f t="shared" si="125"/>
        <v>41425.120000000003</v>
      </c>
      <c r="E259" s="42" t="s">
        <v>80</v>
      </c>
      <c r="F259" s="3">
        <f>((+F234+F238+F239+F240)*12)+(F236*INT($C$3/3)*12)+((F235+F238)*2)+((F239+F240)*2)+(F248*14)+(F237*INT($C$3/3)*2)+(IF($C$4="s",F252,0))+(((IF(INT($C$3/3)&lt;6,F241,0))+(IF(AND(INT($C$3/6)&gt;0,INT($C$3/6)&lt;2),F242,0))+(IF(AND(INT($C$3/6)&gt;1,INT($C$3/6)&lt;3),F242+F243,0))+(IF(AND(INT($C$3/6)&gt;2,INT($C$3/6)&lt;4),F242+F243+F244,0))+(IF(AND(INT($C$3/6)&gt;3,INT($C$3/6)&lt;5),F242+F243+F244+F245,0))+(IF(INT($C$3/6)&gt;4,F242+F243+F244+F245+F246,0)))*12)+(IF($C$7="s",F247*12,0))++(((IF(INT($C$3/3)&lt;6,F241,0))+(IF(AND(INT($C$3/6)&gt;0,INT($C$3/6)&lt;2),F242,0))+(IF(AND(INT($C$3/6)&gt;1,INT($C$3/6)&lt;3),F242+F243,0))+(IF(AND(INT($C$3/6)&gt;2,INT($C$3/6)&lt;4),F242+F243+F244,0))+(IF(AND(INT($C$3/6)&gt;3,INT($C$3/6)&lt;5),F242+F243+F244+F245,0))+(IF(INT($C$3/6)&gt;4,F242+F243+F244+F245+F246,0)))*2)+(F253*12)+(F254*2)</f>
        <v>37170.98000000001</v>
      </c>
      <c r="G259" s="3">
        <f t="shared" ref="G259:I259" si="138">((+G234+G238+G239+G240)*12)+(G236*INT($C$3/3)*12)+((G235+G238)*2)+((G239+G240)*2)+(G248*14)+(G237*INT($C$3/3)*2)+(IF($C$4="s",G252,0))+(((IF(INT($C$3/3)&lt;6,G241,0))+(IF(AND(INT($C$3/6)&gt;0,INT($C$3/6)&lt;2),G242,0))+(IF(AND(INT($C$3/6)&gt;1,INT($C$3/6)&lt;3),G242+G243,0))+(IF(AND(INT($C$3/6)&gt;2,INT($C$3/6)&lt;4),G242+G243+G244,0))+(IF(AND(INT($C$3/6)&gt;3,INT($C$3/6)&lt;5),G242+G243+G244+G245,0))+(IF(INT($C$3/6)&gt;4,G242+G243+G244+G245+G246,0)))*12)+(IF($C$7="s",G247*12,0))++(((IF(INT($C$3/3)&lt;6,G241,0))+(IF(AND(INT($C$3/6)&gt;0,INT($C$3/6)&lt;2),G242,0))+(IF(AND(INT($C$3/6)&gt;1,INT($C$3/6)&lt;3),G242+G243,0))+(IF(AND(INT($C$3/6)&gt;2,INT($C$3/6)&lt;4),G242+G243+G244,0))+(IF(AND(INT($C$3/6)&gt;3,INT($C$3/6)&lt;5),G242+G243+G244+G245,0))+(IF(INT($C$3/6)&gt;4,G242+G243+G244+G245+G246,0)))*2)+(G253*12)+(G254*2)</f>
        <v>39089.400000000009</v>
      </c>
      <c r="H259" s="3">
        <f t="shared" si="138"/>
        <v>39089.400000000009</v>
      </c>
      <c r="I259" s="3">
        <f t="shared" si="138"/>
        <v>41425.120000000003</v>
      </c>
      <c r="J259" s="3">
        <f t="shared" ref="J259:N259" si="139">((+J234+J238+J239+J240)*12)+(J236*INT($C$3/3)*12)+((J235+J238)*2)+((J239+J240)*2)+(J248*14)+(J237*INT($C$3/3)*2)+(IF($C$4="s",J252,0))+(((IF(INT($C$3/3)&lt;6,J241,0))+(IF(AND(INT($C$3/6)&gt;0,INT($C$3/6)&lt;2),J242,0))+(IF(AND(INT($C$3/6)&gt;1,INT($C$3/6)&lt;3),J242+J243,0))+(IF(AND(INT($C$3/6)&gt;2,INT($C$3/6)&lt;4),J242+J243+J244,0))+(IF(AND(INT($C$3/6)&gt;3,INT($C$3/6)&lt;5),J242+J243+J244+J245,0))+(IF(INT($C$3/6)&gt;4,J242+J243+J244+J245+J246,0)))*12)+(IF($C$7="s",J247*12,0))++(((IF(INT($C$3/3)&lt;6,J241,0))+(IF(AND(INT($C$3/6)&gt;0,INT($C$3/6)&lt;2),J242,0))+(IF(AND(INT($C$3/6)&gt;1,INT($C$3/6)&lt;3),J242+J243,0))+(IF(AND(INT($C$3/6)&gt;2,INT($C$3/6)&lt;4),J242+J243+J244,0))+(IF(AND(INT($C$3/6)&gt;3,INT($C$3/6)&lt;5),J242+J243+J244+J245,0))+(IF(INT($C$3/6)&gt;4,J242+J243+J244+J245+J246,0)))*2)+(J253*12)+(J254*2)</f>
        <v>41425.120000000003</v>
      </c>
      <c r="K259" s="3">
        <f t="shared" si="139"/>
        <v>41425.120000000003</v>
      </c>
      <c r="L259" s="3">
        <f t="shared" si="139"/>
        <v>41425.120000000003</v>
      </c>
      <c r="M259" s="3">
        <f t="shared" si="139"/>
        <v>44283.360000000001</v>
      </c>
      <c r="N259" s="3">
        <f t="shared" si="139"/>
        <v>59425.9</v>
      </c>
    </row>
    <row r="266" spans="2:27" s="2" customFormat="1" ht="12.9" customHeight="1">
      <c r="B266" s="9"/>
      <c r="C266" s="2" t="str">
        <f>+E267</f>
        <v>Castilla y León</v>
      </c>
    </row>
    <row r="267" spans="2:27" s="2" customFormat="1" ht="35.25" customHeight="1">
      <c r="C267" s="10" t="str">
        <f>+$C$11</f>
        <v>590-Profesores Enseñanza Secundaria</v>
      </c>
      <c r="E267" s="11" t="s">
        <v>32</v>
      </c>
      <c r="F267" s="12" t="s">
        <v>120</v>
      </c>
      <c r="G267" s="12" t="s">
        <v>110</v>
      </c>
      <c r="H267" s="12" t="s">
        <v>118</v>
      </c>
      <c r="I267" s="12" t="s">
        <v>4</v>
      </c>
      <c r="J267" s="12" t="s">
        <v>112</v>
      </c>
      <c r="K267" s="12" t="s">
        <v>114</v>
      </c>
      <c r="L267" s="12" t="s">
        <v>116</v>
      </c>
      <c r="M267" s="12" t="s">
        <v>107</v>
      </c>
      <c r="N267" s="12" t="s">
        <v>105</v>
      </c>
      <c r="O267" s="13" t="s">
        <v>202</v>
      </c>
      <c r="P267" s="13"/>
      <c r="Q267" s="14" t="s">
        <v>137</v>
      </c>
      <c r="R267" s="14"/>
      <c r="S267" s="13"/>
      <c r="T267" s="13"/>
      <c r="U267" s="13"/>
      <c r="V267" s="13"/>
      <c r="W267" s="43" t="s">
        <v>138</v>
      </c>
      <c r="X267" s="13"/>
      <c r="Y267" s="13"/>
    </row>
    <row r="268" spans="2:27" s="2" customFormat="1" ht="12.9" customHeight="1">
      <c r="B268" s="44" t="s">
        <v>91</v>
      </c>
      <c r="C268" s="16" t="str">
        <f t="shared" ref="C268:C295" si="140">IF($C$11=$F$11,F268,IF($C$11=G$11,G268,IF($C$11=H$11,H268,IF($C$11=I$11,I268,IF($C$11=J$11,J268,IF($C$11=K$11,K268,IF($C$11=L$11,L268,IF($C$11=M$11,M268,N268))))))))</f>
        <v>A1</v>
      </c>
      <c r="E268" s="45" t="s">
        <v>91</v>
      </c>
      <c r="F268" s="17" t="s">
        <v>137</v>
      </c>
      <c r="G268" s="17" t="s">
        <v>137</v>
      </c>
      <c r="H268" s="17" t="s">
        <v>137</v>
      </c>
      <c r="I268" s="17" t="s">
        <v>138</v>
      </c>
      <c r="J268" s="17" t="s">
        <v>138</v>
      </c>
      <c r="K268" s="17" t="s">
        <v>138</v>
      </c>
      <c r="L268" s="17" t="s">
        <v>138</v>
      </c>
      <c r="M268" s="17" t="s">
        <v>138</v>
      </c>
      <c r="N268" s="17" t="s">
        <v>138</v>
      </c>
      <c r="R268" s="2" t="s">
        <v>20</v>
      </c>
      <c r="S268" s="2" t="s">
        <v>123</v>
      </c>
      <c r="T268" s="2" t="s">
        <v>126</v>
      </c>
      <c r="U268" s="2" t="s">
        <v>129</v>
      </c>
      <c r="V268" s="2" t="s">
        <v>130</v>
      </c>
      <c r="W268" s="2" t="s">
        <v>20</v>
      </c>
      <c r="X268" s="2" t="s">
        <v>123</v>
      </c>
      <c r="Y268" s="2" t="s">
        <v>126</v>
      </c>
      <c r="Z268" s="2" t="s">
        <v>129</v>
      </c>
      <c r="AA268" s="2" t="s">
        <v>130</v>
      </c>
    </row>
    <row r="269" spans="2:27" s="2" customFormat="1" ht="12.9" customHeight="1">
      <c r="B269" s="44" t="str">
        <f>+E269</f>
        <v>Nivel</v>
      </c>
      <c r="C269" s="16">
        <f t="shared" si="140"/>
        <v>24</v>
      </c>
      <c r="E269" s="45" t="s">
        <v>144</v>
      </c>
      <c r="F269" s="17">
        <v>21</v>
      </c>
      <c r="G269" s="17">
        <v>24</v>
      </c>
      <c r="H269" s="17">
        <v>24</v>
      </c>
      <c r="I269" s="17">
        <v>24</v>
      </c>
      <c r="J269" s="17">
        <v>24</v>
      </c>
      <c r="K269" s="17">
        <v>24</v>
      </c>
      <c r="L269" s="17">
        <v>24</v>
      </c>
      <c r="M269" s="17">
        <v>26</v>
      </c>
      <c r="N269" s="17">
        <v>26</v>
      </c>
      <c r="Q269" s="2" t="s">
        <v>124</v>
      </c>
      <c r="R269" s="2">
        <v>0</v>
      </c>
      <c r="S269" s="19">
        <v>650.85</v>
      </c>
      <c r="T269" s="19"/>
      <c r="U269" s="19">
        <v>226.49</v>
      </c>
      <c r="V269" s="43">
        <f>U269</f>
        <v>226.49</v>
      </c>
      <c r="W269" s="2">
        <v>0</v>
      </c>
      <c r="X269" s="19">
        <v>794.15</v>
      </c>
      <c r="Y269" s="19"/>
      <c r="Z269" s="19">
        <v>349.4</v>
      </c>
      <c r="AA269" s="43">
        <f>Z269</f>
        <v>349.4</v>
      </c>
    </row>
    <row r="270" spans="2:27" s="2" customFormat="1" ht="12.9" customHeight="1">
      <c r="B270" s="22" t="s">
        <v>43</v>
      </c>
      <c r="C270" s="16">
        <f t="shared" si="140"/>
        <v>1387.24</v>
      </c>
      <c r="E270" s="22" t="s">
        <v>43</v>
      </c>
      <c r="F270" s="23">
        <f t="shared" ref="F270:I273" si="141">+F54</f>
        <v>1199.52</v>
      </c>
      <c r="G270" s="23">
        <f t="shared" si="141"/>
        <v>1199.52</v>
      </c>
      <c r="H270" s="23">
        <f t="shared" si="141"/>
        <v>1199.52</v>
      </c>
      <c r="I270" s="23">
        <f t="shared" si="141"/>
        <v>1387.24</v>
      </c>
      <c r="J270" s="23">
        <f t="shared" ref="J270:N276" si="142">+I270</f>
        <v>1387.24</v>
      </c>
      <c r="K270" s="23">
        <f t="shared" si="142"/>
        <v>1387.24</v>
      </c>
      <c r="L270" s="23">
        <f t="shared" si="142"/>
        <v>1387.24</v>
      </c>
      <c r="M270" s="23">
        <f t="shared" si="142"/>
        <v>1387.24</v>
      </c>
      <c r="N270" s="23">
        <f t="shared" si="142"/>
        <v>1387.24</v>
      </c>
      <c r="Q270" s="2" t="s">
        <v>127</v>
      </c>
      <c r="R270" s="2">
        <v>0</v>
      </c>
      <c r="S270" s="19">
        <v>589.16999999999996</v>
      </c>
      <c r="T270" s="19"/>
      <c r="U270" s="19">
        <v>212.83</v>
      </c>
      <c r="V270" s="43">
        <f>U270</f>
        <v>212.83</v>
      </c>
      <c r="W270" s="2">
        <v>0</v>
      </c>
      <c r="X270" s="19">
        <v>684.06</v>
      </c>
      <c r="Y270" s="19"/>
      <c r="Z270" s="19">
        <v>342.57</v>
      </c>
      <c r="AA270" s="43">
        <f t="shared" ref="AA270:AA272" si="143">Z270</f>
        <v>342.57</v>
      </c>
    </row>
    <row r="271" spans="2:27" s="2" customFormat="1" ht="12.9" customHeight="1">
      <c r="B271" s="22" t="s">
        <v>92</v>
      </c>
      <c r="C271" s="16">
        <f t="shared" si="140"/>
        <v>856.05</v>
      </c>
      <c r="E271" s="22" t="s">
        <v>92</v>
      </c>
      <c r="F271" s="25">
        <f t="shared" si="141"/>
        <v>874.83</v>
      </c>
      <c r="G271" s="25">
        <f t="shared" si="141"/>
        <v>874.83</v>
      </c>
      <c r="H271" s="25">
        <f t="shared" si="141"/>
        <v>874.83</v>
      </c>
      <c r="I271" s="25">
        <f t="shared" si="141"/>
        <v>856.05</v>
      </c>
      <c r="J271" s="23">
        <f t="shared" si="142"/>
        <v>856.05</v>
      </c>
      <c r="K271" s="23">
        <f t="shared" si="142"/>
        <v>856.05</v>
      </c>
      <c r="L271" s="23">
        <f t="shared" si="142"/>
        <v>856.05</v>
      </c>
      <c r="M271" s="23">
        <f t="shared" si="142"/>
        <v>856.05</v>
      </c>
      <c r="N271" s="23">
        <f t="shared" si="142"/>
        <v>856.05</v>
      </c>
      <c r="Q271" s="2" t="s">
        <v>22</v>
      </c>
      <c r="R271" s="2">
        <v>0</v>
      </c>
      <c r="S271" s="19">
        <v>426.39</v>
      </c>
      <c r="T271" s="19"/>
      <c r="U271" s="19">
        <v>205.99</v>
      </c>
      <c r="V271" s="43">
        <f>U271</f>
        <v>205.99</v>
      </c>
      <c r="W271" s="2">
        <v>0</v>
      </c>
      <c r="X271" s="19">
        <v>619.25</v>
      </c>
      <c r="Y271" s="19"/>
      <c r="Z271" s="19">
        <v>247</v>
      </c>
      <c r="AA271" s="43">
        <f t="shared" si="143"/>
        <v>247</v>
      </c>
    </row>
    <row r="272" spans="2:27" s="2" customFormat="1" ht="12.9" customHeight="1">
      <c r="B272" s="22" t="s">
        <v>93</v>
      </c>
      <c r="C272" s="16">
        <f t="shared" si="140"/>
        <v>53.39</v>
      </c>
      <c r="E272" s="22" t="s">
        <v>93</v>
      </c>
      <c r="F272" s="23">
        <f t="shared" si="141"/>
        <v>43.54</v>
      </c>
      <c r="G272" s="23">
        <f t="shared" si="141"/>
        <v>43.54</v>
      </c>
      <c r="H272" s="23">
        <f t="shared" si="141"/>
        <v>43.54</v>
      </c>
      <c r="I272" s="23">
        <f t="shared" si="141"/>
        <v>53.39</v>
      </c>
      <c r="J272" s="23">
        <f t="shared" si="142"/>
        <v>53.39</v>
      </c>
      <c r="K272" s="23">
        <f t="shared" si="142"/>
        <v>53.39</v>
      </c>
      <c r="L272" s="23">
        <f t="shared" si="142"/>
        <v>53.39</v>
      </c>
      <c r="M272" s="23">
        <f t="shared" si="142"/>
        <v>53.39</v>
      </c>
      <c r="N272" s="23">
        <f t="shared" si="142"/>
        <v>53.39</v>
      </c>
      <c r="Q272" s="2" t="s">
        <v>131</v>
      </c>
      <c r="R272" s="2">
        <v>0</v>
      </c>
      <c r="S272" s="19">
        <v>315.27999999999997</v>
      </c>
      <c r="T272" s="19"/>
      <c r="U272" s="19">
        <v>151.37</v>
      </c>
      <c r="V272" s="43">
        <f>U272</f>
        <v>151.37</v>
      </c>
      <c r="W272" s="2">
        <v>0</v>
      </c>
      <c r="X272" s="19">
        <v>560.58000000000004</v>
      </c>
      <c r="Y272" s="19"/>
      <c r="Z272" s="19">
        <v>212.83</v>
      </c>
      <c r="AA272" s="43">
        <f t="shared" si="143"/>
        <v>212.83</v>
      </c>
    </row>
    <row r="273" spans="2:32" s="2" customFormat="1" ht="12.9" customHeight="1">
      <c r="B273" s="22" t="s">
        <v>95</v>
      </c>
      <c r="C273" s="16">
        <f t="shared" si="140"/>
        <v>32.96</v>
      </c>
      <c r="E273" s="22" t="s">
        <v>95</v>
      </c>
      <c r="F273" s="25">
        <f t="shared" si="141"/>
        <v>31.74</v>
      </c>
      <c r="G273" s="25">
        <f t="shared" si="141"/>
        <v>31.74</v>
      </c>
      <c r="H273" s="25">
        <f t="shared" si="141"/>
        <v>31.74</v>
      </c>
      <c r="I273" s="25">
        <f t="shared" si="141"/>
        <v>32.96</v>
      </c>
      <c r="J273" s="23">
        <f t="shared" si="142"/>
        <v>32.96</v>
      </c>
      <c r="K273" s="23">
        <f t="shared" si="142"/>
        <v>32.96</v>
      </c>
      <c r="L273" s="23">
        <f t="shared" si="142"/>
        <v>32.96</v>
      </c>
      <c r="M273" s="23">
        <f t="shared" si="142"/>
        <v>32.96</v>
      </c>
      <c r="N273" s="23">
        <f t="shared" si="142"/>
        <v>32.96</v>
      </c>
      <c r="Q273" s="2" t="s">
        <v>133</v>
      </c>
      <c r="R273" s="2">
        <v>0</v>
      </c>
      <c r="S273" s="19">
        <v>192.31</v>
      </c>
      <c r="T273" s="26"/>
      <c r="U273" s="26"/>
      <c r="V273" s="19">
        <v>118.01</v>
      </c>
      <c r="W273" s="2">
        <v>0</v>
      </c>
      <c r="X273" s="26"/>
      <c r="Y273" s="26"/>
      <c r="Z273" s="19"/>
      <c r="AA273" s="26"/>
    </row>
    <row r="274" spans="2:32" s="2" customFormat="1" ht="12.9" customHeight="1">
      <c r="B274" s="22" t="s">
        <v>46</v>
      </c>
      <c r="C274" s="16">
        <f t="shared" si="140"/>
        <v>729.14</v>
      </c>
      <c r="E274" s="22" t="s">
        <v>46</v>
      </c>
      <c r="F274" s="23">
        <f>+F58</f>
        <v>592.11</v>
      </c>
      <c r="G274" s="23">
        <f>+G58</f>
        <v>729.14</v>
      </c>
      <c r="H274" s="23">
        <f t="shared" ref="H274:N274" si="144">+H58</f>
        <v>729.14</v>
      </c>
      <c r="I274" s="23">
        <f t="shared" si="144"/>
        <v>729.14</v>
      </c>
      <c r="J274" s="23">
        <f t="shared" si="144"/>
        <v>729.14</v>
      </c>
      <c r="K274" s="23">
        <f t="shared" si="144"/>
        <v>729.14</v>
      </c>
      <c r="L274" s="23">
        <f t="shared" si="144"/>
        <v>729.14</v>
      </c>
      <c r="M274" s="55">
        <f t="shared" si="144"/>
        <v>873.38</v>
      </c>
      <c r="N274" s="55">
        <f t="shared" si="144"/>
        <v>873.38</v>
      </c>
      <c r="Q274" s="2" t="s">
        <v>134</v>
      </c>
      <c r="R274" s="2">
        <v>0</v>
      </c>
      <c r="S274" s="19">
        <v>83.08</v>
      </c>
      <c r="T274" s="26"/>
      <c r="U274" s="26"/>
      <c r="V274" s="26"/>
      <c r="W274" s="2">
        <v>0</v>
      </c>
      <c r="X274" s="26"/>
      <c r="Y274" s="26"/>
      <c r="Z274" s="19"/>
      <c r="AA274" s="26"/>
    </row>
    <row r="275" spans="2:32" s="2" customFormat="1" ht="12.9" customHeight="1">
      <c r="B275" s="22" t="s">
        <v>48</v>
      </c>
      <c r="C275" s="16">
        <f t="shared" si="140"/>
        <v>294.2</v>
      </c>
      <c r="E275" s="22" t="s">
        <v>48</v>
      </c>
      <c r="F275" s="27">
        <v>294.2</v>
      </c>
      <c r="G275" s="23">
        <f>+F275</f>
        <v>294.2</v>
      </c>
      <c r="H275" s="23">
        <f>+G275</f>
        <v>294.2</v>
      </c>
      <c r="I275" s="23">
        <f>+H275</f>
        <v>294.2</v>
      </c>
      <c r="J275" s="23">
        <f t="shared" si="142"/>
        <v>294.2</v>
      </c>
      <c r="K275" s="23">
        <f t="shared" si="142"/>
        <v>294.2</v>
      </c>
      <c r="L275" s="23">
        <f t="shared" si="142"/>
        <v>294.2</v>
      </c>
      <c r="M275" s="27">
        <v>356.73</v>
      </c>
      <c r="N275" s="27">
        <v>391.75</v>
      </c>
      <c r="O275" s="2" t="s">
        <v>203</v>
      </c>
    </row>
    <row r="276" spans="2:32" s="2" customFormat="1" ht="12.9" customHeight="1">
      <c r="B276" s="29" t="s">
        <v>49</v>
      </c>
      <c r="C276" s="16">
        <f t="shared" si="140"/>
        <v>424.79</v>
      </c>
      <c r="E276" s="29" t="s">
        <v>49</v>
      </c>
      <c r="F276" s="27">
        <v>423.45</v>
      </c>
      <c r="G276" s="23">
        <f>+F276</f>
        <v>423.45</v>
      </c>
      <c r="H276" s="23">
        <f>+G276</f>
        <v>423.45</v>
      </c>
      <c r="I276" s="27">
        <v>424.79</v>
      </c>
      <c r="J276" s="23">
        <f t="shared" si="142"/>
        <v>424.79</v>
      </c>
      <c r="K276" s="23">
        <f t="shared" si="142"/>
        <v>424.79</v>
      </c>
      <c r="L276" s="23">
        <f t="shared" si="142"/>
        <v>424.79</v>
      </c>
      <c r="M276" s="23">
        <f t="shared" si="142"/>
        <v>424.79</v>
      </c>
      <c r="N276" s="25">
        <f>SUM(O276:AA276)</f>
        <v>1036.51</v>
      </c>
      <c r="O276" s="19">
        <v>234.63</v>
      </c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26"/>
      <c r="AA276" s="19">
        <v>801.88</v>
      </c>
      <c r="AB276" s="47" t="s">
        <v>204</v>
      </c>
      <c r="AC276" s="47" t="s">
        <v>205</v>
      </c>
      <c r="AF276" s="2" t="s">
        <v>206</v>
      </c>
    </row>
    <row r="277" spans="2:32" s="2" customFormat="1" ht="12.9" customHeight="1">
      <c r="B277" s="29" t="s">
        <v>98</v>
      </c>
      <c r="C277" s="16">
        <f t="shared" si="140"/>
        <v>0</v>
      </c>
      <c r="E277" s="29" t="s">
        <v>98</v>
      </c>
      <c r="F277" s="23"/>
      <c r="G277" s="23"/>
      <c r="H277" s="23"/>
      <c r="I277" s="23"/>
      <c r="J277" s="23">
        <f>+I277</f>
        <v>0</v>
      </c>
      <c r="K277" s="23">
        <f>+J277</f>
        <v>0</v>
      </c>
      <c r="L277" s="23">
        <f>+K277</f>
        <v>0</v>
      </c>
      <c r="M277" s="23">
        <f>+L277</f>
        <v>0</v>
      </c>
      <c r="N277" s="23">
        <f>+M277</f>
        <v>0</v>
      </c>
      <c r="O277" s="47" t="s">
        <v>204</v>
      </c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83" t="s">
        <v>137</v>
      </c>
      <c r="AB277" s="83" t="s">
        <v>138</v>
      </c>
      <c r="AC277" s="72" t="s">
        <v>207</v>
      </c>
      <c r="AD277" s="23"/>
      <c r="AE277" s="72" t="s">
        <v>208</v>
      </c>
    </row>
    <row r="278" spans="2:32" s="2" customFormat="1" ht="12.9" customHeight="1">
      <c r="B278" s="29" t="s">
        <v>52</v>
      </c>
      <c r="C278" s="16">
        <f t="shared" si="140"/>
        <v>70.22</v>
      </c>
      <c r="E278" s="29" t="s">
        <v>52</v>
      </c>
      <c r="F278" s="27">
        <v>70.22</v>
      </c>
      <c r="G278" s="23">
        <f t="shared" ref="G278:I283" si="145">+F278</f>
        <v>70.22</v>
      </c>
      <c r="H278" s="23">
        <f t="shared" si="145"/>
        <v>70.22</v>
      </c>
      <c r="I278" s="23">
        <f t="shared" si="145"/>
        <v>70.22</v>
      </c>
      <c r="J278" s="23">
        <f t="shared" ref="J278:N283" si="146">+I278</f>
        <v>70.22</v>
      </c>
      <c r="K278" s="23">
        <f t="shared" si="146"/>
        <v>70.22</v>
      </c>
      <c r="L278" s="23">
        <f t="shared" si="146"/>
        <v>70.22</v>
      </c>
      <c r="M278" s="23">
        <f t="shared" si="146"/>
        <v>70.22</v>
      </c>
      <c r="N278" s="23">
        <f t="shared" si="146"/>
        <v>70.22</v>
      </c>
      <c r="O278" s="2" t="s">
        <v>209</v>
      </c>
      <c r="P278" s="13" t="s">
        <v>210</v>
      </c>
      <c r="Z278" s="19">
        <v>153.11000000000001</v>
      </c>
      <c r="AB278" s="19">
        <v>201.43</v>
      </c>
      <c r="AC278" s="23">
        <v>5</v>
      </c>
      <c r="AD278" s="23"/>
      <c r="AE278" s="23">
        <v>5</v>
      </c>
    </row>
    <row r="279" spans="2:32" s="2" customFormat="1" ht="12.9" customHeight="1">
      <c r="B279" s="29" t="s">
        <v>54</v>
      </c>
      <c r="C279" s="16">
        <f t="shared" si="140"/>
        <v>88.56</v>
      </c>
      <c r="E279" s="29" t="s">
        <v>54</v>
      </c>
      <c r="F279" s="27">
        <v>88.56</v>
      </c>
      <c r="G279" s="23">
        <f t="shared" si="145"/>
        <v>88.56</v>
      </c>
      <c r="H279" s="23">
        <f t="shared" si="145"/>
        <v>88.56</v>
      </c>
      <c r="I279" s="23">
        <f t="shared" si="145"/>
        <v>88.56</v>
      </c>
      <c r="J279" s="23">
        <f t="shared" si="146"/>
        <v>88.56</v>
      </c>
      <c r="K279" s="23">
        <f t="shared" si="146"/>
        <v>88.56</v>
      </c>
      <c r="L279" s="23">
        <f t="shared" si="146"/>
        <v>88.56</v>
      </c>
      <c r="M279" s="23">
        <f t="shared" si="146"/>
        <v>88.56</v>
      </c>
      <c r="N279" s="23">
        <f t="shared" si="146"/>
        <v>88.56</v>
      </c>
      <c r="O279" s="2" t="s">
        <v>211</v>
      </c>
      <c r="Z279" s="19">
        <v>275.54000000000002</v>
      </c>
      <c r="AB279" s="19">
        <v>362.54</v>
      </c>
      <c r="AC279" s="23">
        <v>15</v>
      </c>
      <c r="AD279" s="23"/>
      <c r="AE279" s="23">
        <v>5</v>
      </c>
    </row>
    <row r="280" spans="2:32" s="2" customFormat="1" ht="12.9" customHeight="1">
      <c r="B280" s="29" t="s">
        <v>56</v>
      </c>
      <c r="C280" s="16">
        <f t="shared" si="140"/>
        <v>124.87</v>
      </c>
      <c r="E280" s="29" t="s">
        <v>56</v>
      </c>
      <c r="F280" s="27">
        <v>124.87</v>
      </c>
      <c r="G280" s="23">
        <f t="shared" si="145"/>
        <v>124.87</v>
      </c>
      <c r="H280" s="23">
        <f t="shared" si="145"/>
        <v>124.87</v>
      </c>
      <c r="I280" s="23">
        <f t="shared" si="145"/>
        <v>124.87</v>
      </c>
      <c r="J280" s="23">
        <f t="shared" si="146"/>
        <v>124.87</v>
      </c>
      <c r="K280" s="23">
        <f t="shared" si="146"/>
        <v>124.87</v>
      </c>
      <c r="L280" s="23">
        <f t="shared" si="146"/>
        <v>124.87</v>
      </c>
      <c r="M280" s="23">
        <f t="shared" si="146"/>
        <v>124.87</v>
      </c>
      <c r="N280" s="23">
        <f t="shared" si="146"/>
        <v>124.87</v>
      </c>
      <c r="O280" s="2" t="s">
        <v>212</v>
      </c>
      <c r="Z280" s="19">
        <v>397.96</v>
      </c>
      <c r="AB280" s="19">
        <v>523.6</v>
      </c>
      <c r="AC280" s="23">
        <v>20</v>
      </c>
      <c r="AD280" s="23"/>
      <c r="AE280" s="23">
        <v>6</v>
      </c>
    </row>
    <row r="281" spans="2:32" s="2" customFormat="1" ht="12.9" customHeight="1">
      <c r="B281" s="29" t="s">
        <v>58</v>
      </c>
      <c r="C281" s="16">
        <f t="shared" si="140"/>
        <v>251.87</v>
      </c>
      <c r="E281" s="29" t="s">
        <v>58</v>
      </c>
      <c r="F281" s="27">
        <v>251.87</v>
      </c>
      <c r="G281" s="23">
        <f t="shared" si="145"/>
        <v>251.87</v>
      </c>
      <c r="H281" s="23">
        <f t="shared" si="145"/>
        <v>251.87</v>
      </c>
      <c r="I281" s="23">
        <f t="shared" si="145"/>
        <v>251.87</v>
      </c>
      <c r="J281" s="23">
        <f t="shared" si="146"/>
        <v>251.87</v>
      </c>
      <c r="K281" s="23">
        <f t="shared" si="146"/>
        <v>251.87</v>
      </c>
      <c r="L281" s="23">
        <f t="shared" si="146"/>
        <v>251.87</v>
      </c>
      <c r="M281" s="23">
        <f t="shared" si="146"/>
        <v>251.87</v>
      </c>
      <c r="N281" s="23">
        <f t="shared" si="146"/>
        <v>251.87</v>
      </c>
      <c r="O281" s="2" t="s">
        <v>213</v>
      </c>
      <c r="Z281" s="19">
        <v>520.41</v>
      </c>
      <c r="AB281" s="19">
        <v>684.73</v>
      </c>
      <c r="AC281" s="23"/>
      <c r="AD281" s="23"/>
      <c r="AE281" s="23">
        <v>7</v>
      </c>
    </row>
    <row r="282" spans="2:32" s="2" customFormat="1" ht="12.9" customHeight="1">
      <c r="B282" s="29" t="s">
        <v>60</v>
      </c>
      <c r="C282" s="16">
        <f t="shared" si="140"/>
        <v>144.80000000000001</v>
      </c>
      <c r="E282" s="29" t="s">
        <v>60</v>
      </c>
      <c r="F282" s="27">
        <v>144.80000000000001</v>
      </c>
      <c r="G282" s="23">
        <f t="shared" si="145"/>
        <v>144.80000000000001</v>
      </c>
      <c r="H282" s="23">
        <f t="shared" si="145"/>
        <v>144.80000000000001</v>
      </c>
      <c r="I282" s="23">
        <f t="shared" si="145"/>
        <v>144.80000000000001</v>
      </c>
      <c r="J282" s="23">
        <f t="shared" si="146"/>
        <v>144.80000000000001</v>
      </c>
      <c r="K282" s="23">
        <f t="shared" si="146"/>
        <v>144.80000000000001</v>
      </c>
      <c r="L282" s="23">
        <f t="shared" si="146"/>
        <v>144.80000000000001</v>
      </c>
      <c r="M282" s="23">
        <f t="shared" si="146"/>
        <v>144.80000000000001</v>
      </c>
      <c r="N282" s="23">
        <f t="shared" si="146"/>
        <v>144.80000000000001</v>
      </c>
    </row>
    <row r="283" spans="2:32" s="2" customFormat="1" ht="12.9" customHeight="1">
      <c r="B283" s="29" t="s">
        <v>103</v>
      </c>
      <c r="C283" s="16">
        <f t="shared" si="140"/>
        <v>0</v>
      </c>
      <c r="E283" s="29" t="s">
        <v>103</v>
      </c>
      <c r="F283" s="84"/>
      <c r="G283" s="23">
        <f t="shared" si="145"/>
        <v>0</v>
      </c>
      <c r="H283" s="23">
        <f t="shared" si="145"/>
        <v>0</v>
      </c>
      <c r="I283" s="23">
        <f t="shared" si="145"/>
        <v>0</v>
      </c>
      <c r="J283" s="23">
        <f t="shared" si="146"/>
        <v>0</v>
      </c>
      <c r="K283" s="23">
        <f t="shared" si="146"/>
        <v>0</v>
      </c>
      <c r="L283" s="23">
        <f t="shared" si="146"/>
        <v>0</v>
      </c>
      <c r="M283" s="23">
        <f t="shared" si="146"/>
        <v>0</v>
      </c>
      <c r="N283" s="23"/>
    </row>
    <row r="284" spans="2:32" s="2" customFormat="1" ht="12.9" customHeight="1">
      <c r="B284" s="29" t="s">
        <v>19</v>
      </c>
      <c r="C284" s="16">
        <f t="shared" si="140"/>
        <v>0</v>
      </c>
      <c r="E284" s="29" t="s">
        <v>19</v>
      </c>
      <c r="F284" s="30">
        <f>IF($C$1=F267,'Nómina mensual'!$J$29,0)</f>
        <v>0</v>
      </c>
      <c r="G284" s="30">
        <f>IF($C$1=G267,'Nómina mensual'!$J$29,0)</f>
        <v>0</v>
      </c>
      <c r="H284" s="30">
        <f>IF($C$1=H267,'Nómina mensual'!$J$29,0)</f>
        <v>0</v>
      </c>
      <c r="I284" s="30">
        <f>IF($C$1=I267,'Nómina mensual'!$J$29,0)</f>
        <v>0</v>
      </c>
      <c r="J284" s="30">
        <f>IF($C$1=J267,'Nómina mensual'!$J$29,0)</f>
        <v>0</v>
      </c>
      <c r="K284" s="30">
        <f>IF($C$1=K267,'Nómina mensual'!$J$29,0)</f>
        <v>0</v>
      </c>
      <c r="L284" s="30">
        <f>IF($C$1=L267,'Nómina mensual'!$J$29,0)</f>
        <v>0</v>
      </c>
      <c r="M284" s="30">
        <f>IF($C$1=M267,'Nómina mensual'!$J$29,0)</f>
        <v>0</v>
      </c>
      <c r="N284" s="23"/>
    </row>
    <row r="285" spans="2:32" s="2" customFormat="1" ht="12.9" customHeight="1">
      <c r="B285" s="31" t="s">
        <v>104</v>
      </c>
      <c r="C285" s="16">
        <f t="shared" si="140"/>
        <v>0</v>
      </c>
      <c r="E285" s="31" t="s">
        <v>104</v>
      </c>
      <c r="F285" s="23"/>
      <c r="G285" s="23"/>
      <c r="H285" s="23"/>
      <c r="I285" s="23"/>
      <c r="J285" s="23"/>
      <c r="K285" s="23"/>
      <c r="L285" s="23"/>
      <c r="M285" s="23"/>
      <c r="N285" s="23"/>
    </row>
    <row r="286" spans="2:32" s="2" customFormat="1" ht="12.9" customHeight="1">
      <c r="B286" s="31" t="s">
        <v>106</v>
      </c>
      <c r="C286" s="16">
        <f t="shared" si="140"/>
        <v>0</v>
      </c>
      <c r="E286" s="31" t="s">
        <v>106</v>
      </c>
      <c r="F286" s="23"/>
      <c r="G286" s="23"/>
      <c r="H286" s="23"/>
      <c r="I286" s="23"/>
      <c r="J286" s="23"/>
      <c r="K286" s="23"/>
      <c r="L286" s="23"/>
      <c r="M286" s="23"/>
      <c r="N286" s="23"/>
    </row>
    <row r="287" spans="2:32" s="2" customFormat="1" ht="12.9" customHeight="1">
      <c r="B287" s="31" t="s">
        <v>108</v>
      </c>
      <c r="C287" s="16">
        <f t="shared" si="140"/>
        <v>0</v>
      </c>
      <c r="E287" s="31" t="s">
        <v>108</v>
      </c>
      <c r="F287" s="23"/>
      <c r="G287" s="23"/>
      <c r="H287" s="23"/>
      <c r="I287" s="23"/>
      <c r="J287" s="23"/>
      <c r="K287" s="23"/>
      <c r="L287" s="23"/>
      <c r="M287" s="23"/>
      <c r="N287" s="23"/>
    </row>
    <row r="288" spans="2:32" s="2" customFormat="1" ht="12.9" customHeight="1">
      <c r="B288" s="33" t="s">
        <v>109</v>
      </c>
      <c r="C288" s="16">
        <f t="shared" si="140"/>
        <v>0</v>
      </c>
      <c r="E288" s="33" t="s">
        <v>109</v>
      </c>
      <c r="F288" s="27">
        <v>133.19999999999999</v>
      </c>
      <c r="G288" s="23"/>
      <c r="H288" s="23"/>
      <c r="I288" s="23"/>
      <c r="J288" s="23"/>
      <c r="K288" s="23"/>
      <c r="L288" s="23"/>
      <c r="M288" s="23"/>
      <c r="N288" s="23"/>
    </row>
    <row r="289" spans="2:27" s="2" customFormat="1" ht="12.9" customHeight="1">
      <c r="B289" s="34" t="s">
        <v>141</v>
      </c>
      <c r="C289" s="16">
        <f t="shared" si="140"/>
        <v>27.04</v>
      </c>
      <c r="E289" s="34" t="s">
        <v>141</v>
      </c>
      <c r="F289" s="27">
        <v>25.27</v>
      </c>
      <c r="G289" s="23">
        <f>+F289</f>
        <v>25.27</v>
      </c>
      <c r="H289" s="23">
        <f>+G289</f>
        <v>25.27</v>
      </c>
      <c r="I289" s="27">
        <v>27.04</v>
      </c>
      <c r="J289" s="23">
        <f>+I289</f>
        <v>27.04</v>
      </c>
      <c r="K289" s="23">
        <f>+J289</f>
        <v>27.04</v>
      </c>
      <c r="L289" s="23">
        <f>+K289</f>
        <v>27.04</v>
      </c>
      <c r="M289" s="23">
        <f>+L289</f>
        <v>27.04</v>
      </c>
      <c r="N289" s="23">
        <f>+M289</f>
        <v>27.04</v>
      </c>
    </row>
    <row r="290" spans="2:27" s="2" customFormat="1" ht="12.9" customHeight="1">
      <c r="B290" s="34" t="s">
        <v>113</v>
      </c>
      <c r="C290" s="16">
        <f t="shared" si="140"/>
        <v>0</v>
      </c>
      <c r="E290" s="34" t="s">
        <v>113</v>
      </c>
      <c r="F290" s="23"/>
      <c r="G290" s="23"/>
      <c r="H290" s="23"/>
      <c r="I290" s="23"/>
      <c r="J290" s="23"/>
      <c r="K290" s="23"/>
      <c r="L290" s="23"/>
      <c r="M290" s="23"/>
      <c r="N290" s="23"/>
    </row>
    <row r="291" spans="2:27" s="2" customFormat="1" ht="12.9" customHeight="1">
      <c r="B291" s="34" t="s">
        <v>115</v>
      </c>
      <c r="C291" s="16">
        <f t="shared" si="140"/>
        <v>0</v>
      </c>
      <c r="E291" s="34" t="s">
        <v>115</v>
      </c>
      <c r="F291" s="23"/>
      <c r="G291" s="23"/>
      <c r="H291" s="23"/>
      <c r="I291" s="23"/>
      <c r="J291" s="23"/>
      <c r="K291" s="23"/>
      <c r="L291" s="23"/>
      <c r="M291" s="23"/>
      <c r="N291" s="23"/>
    </row>
    <row r="292" spans="2:27" s="2" customFormat="1" ht="12.9" customHeight="1">
      <c r="B292" s="35" t="s">
        <v>117</v>
      </c>
      <c r="C292" s="16">
        <f t="shared" si="140"/>
        <v>0</v>
      </c>
      <c r="E292" s="35" t="s">
        <v>117</v>
      </c>
      <c r="F292" s="23"/>
      <c r="G292" s="23"/>
      <c r="H292" s="23"/>
      <c r="I292" s="23"/>
      <c r="J292" s="23"/>
      <c r="K292" s="23"/>
      <c r="L292" s="23"/>
      <c r="M292" s="23"/>
      <c r="N292" s="23"/>
    </row>
    <row r="293" spans="2:27" s="2" customFormat="1" ht="12.9" customHeight="1">
      <c r="B293" s="39" t="s">
        <v>119</v>
      </c>
      <c r="C293" s="16">
        <f t="shared" si="140"/>
        <v>-51.68</v>
      </c>
      <c r="E293" s="39" t="s">
        <v>119</v>
      </c>
      <c r="F293" s="50">
        <f>+F77</f>
        <v>-40.68</v>
      </c>
      <c r="G293" s="50">
        <f t="shared" ref="G293:N293" si="147">+G77</f>
        <v>-40.68</v>
      </c>
      <c r="H293" s="50">
        <f t="shared" si="147"/>
        <v>-40.68</v>
      </c>
      <c r="I293" s="50">
        <f t="shared" si="147"/>
        <v>-51.68</v>
      </c>
      <c r="J293" s="50">
        <f t="shared" si="147"/>
        <v>-51.68</v>
      </c>
      <c r="K293" s="50">
        <f t="shared" si="147"/>
        <v>-51.68</v>
      </c>
      <c r="L293" s="50">
        <f t="shared" si="147"/>
        <v>-51.68</v>
      </c>
      <c r="M293" s="50">
        <f t="shared" si="147"/>
        <v>-51.68</v>
      </c>
      <c r="N293" s="50">
        <f t="shared" si="147"/>
        <v>-51.68</v>
      </c>
    </row>
    <row r="294" spans="2:27" s="2" customFormat="1" ht="12.9" customHeight="1">
      <c r="B294" s="39" t="s">
        <v>121</v>
      </c>
      <c r="C294" s="16">
        <f t="shared" si="140"/>
        <v>118.04</v>
      </c>
      <c r="E294" s="39" t="s">
        <v>121</v>
      </c>
      <c r="F294" s="50">
        <f>+F78</f>
        <v>-92.9</v>
      </c>
      <c r="G294" s="50">
        <f t="shared" ref="G294:N294" si="148">+G78</f>
        <v>-92.9</v>
      </c>
      <c r="H294" s="50">
        <f t="shared" si="148"/>
        <v>-92.9</v>
      </c>
      <c r="I294" s="50">
        <f t="shared" si="148"/>
        <v>118.04</v>
      </c>
      <c r="J294" s="50">
        <f t="shared" si="148"/>
        <v>118.04</v>
      </c>
      <c r="K294" s="50">
        <f t="shared" si="148"/>
        <v>118.04</v>
      </c>
      <c r="L294" s="50">
        <f t="shared" si="148"/>
        <v>118.04</v>
      </c>
      <c r="M294" s="50">
        <f t="shared" si="148"/>
        <v>118.04</v>
      </c>
      <c r="N294" s="50">
        <f t="shared" si="148"/>
        <v>118.04</v>
      </c>
    </row>
    <row r="295" spans="2:27">
      <c r="B295" s="41" t="s">
        <v>80</v>
      </c>
      <c r="C295" s="16">
        <f t="shared" si="140"/>
        <v>39663.880000000005</v>
      </c>
      <c r="E295" s="42" t="s">
        <v>80</v>
      </c>
      <c r="F295" s="3">
        <f>((+F270+F274+F275+F276)*12)+(F272*INT($C$3/3)*12)+((F271+F274)*2)+((F275+F276)*2)+(F284*14)+(F273*INT($C$3/3)*2)+(IF($C$4="s",F288,0))+(((IF(INT($C$3/3)&lt;6,F277,0))+(IF(AND(INT($C$3/6)&gt;0,INT($C$3/6)&lt;2),F278,0))+(IF(AND(INT($C$3/6)&gt;1,INT($C$3/6)&lt;3),F278+F279,0))+(IF(AND(INT($C$3/6)&gt;2,INT($C$3/6)&lt;4),F278+F279+F280,0))+(IF(AND(INT($C$3/6)&gt;3,INT($C$3/6)&lt;5),F278+F279+F280+F281,0))+(IF(INT($C$3/6)&gt;4,F278+F279+F280+F281+F282,0)))*12)+(IF($C$7="s",F283*12,0))++(((IF(INT($C$3/3)&lt;6,F277,0))+(IF(AND(INT($C$3/6)&gt;0,INT($C$3/6)&lt;2),F278,0))+(IF(AND(INT($C$3/6)&gt;1,INT($C$3/6)&lt;3),F278+F279,0))+(IF(AND(INT($C$3/6)&gt;2,INT($C$3/6)&lt;4),F278+F279+F280,0))+(IF(AND(INT($C$3/6)&gt;3,INT($C$3/6)&lt;5),F278+F279+F280+F281,0))+(IF(INT($C$3/6)&gt;4,F278+F279+F280+F281+F282,0)))*2)+(F289*12)+(F290*2)</f>
        <v>35369.74</v>
      </c>
      <c r="G295" s="3">
        <f t="shared" ref="G295:N295" si="149">((+G270+G274+G275+G276)*12)+(G272*INT($C$3/3)*12)+((G271+G274)*2)+((G275+G276)*2)+(G284*14)+(G273*INT($C$3/3)*2)+(IF($C$4="s",G288,0))+(((IF(INT($C$3/3)&lt;6,G277,0))+(IF(AND(INT($C$3/6)&gt;0,INT($C$3/6)&lt;2),G278,0))+(IF(AND(INT($C$3/6)&gt;1,INT($C$3/6)&lt;3),G278+G279,0))+(IF(AND(INT($C$3/6)&gt;2,INT($C$3/6)&lt;4),G278+G279+G280,0))+(IF(AND(INT($C$3/6)&gt;3,INT($C$3/6)&lt;5),G278+G279+G280+G281,0))+(IF(INT($C$3/6)&gt;4,G278+G279+G280+G281+G282,0)))*12)+(IF($C$7="s",G283*12,0))++(((IF(INT($C$3/3)&lt;6,G277,0))+(IF(AND(INT($C$3/6)&gt;0,INT($C$3/6)&lt;2),G278,0))+(IF(AND(INT($C$3/6)&gt;1,INT($C$3/6)&lt;3),G278+G279,0))+(IF(AND(INT($C$3/6)&gt;2,INT($C$3/6)&lt;4),G278+G279+G280,0))+(IF(AND(INT($C$3/6)&gt;3,INT($C$3/6)&lt;5),G278+G279+G280+G281,0))+(IF(INT($C$3/6)&gt;4,G278+G279+G280+G281+G282,0)))*2)+(G289*12)+(G290*2)</f>
        <v>37288.159999999996</v>
      </c>
      <c r="H295" s="3">
        <f t="shared" si="149"/>
        <v>37288.159999999996</v>
      </c>
      <c r="I295" s="3">
        <f t="shared" si="149"/>
        <v>39663.880000000005</v>
      </c>
      <c r="J295" s="3">
        <f t="shared" si="149"/>
        <v>39663.880000000005</v>
      </c>
      <c r="K295" s="3">
        <f t="shared" si="149"/>
        <v>39663.880000000005</v>
      </c>
      <c r="L295" s="3">
        <f t="shared" si="149"/>
        <v>39663.880000000005</v>
      </c>
      <c r="M295" s="3">
        <f t="shared" si="149"/>
        <v>42558.66</v>
      </c>
      <c r="N295" s="3">
        <f t="shared" si="149"/>
        <v>51613.02</v>
      </c>
    </row>
    <row r="302" spans="2:27" s="2" customFormat="1" ht="12.9" customHeight="1">
      <c r="B302" s="9"/>
      <c r="C302" s="2" t="str">
        <f>+E303</f>
        <v>Cataluña</v>
      </c>
    </row>
    <row r="303" spans="2:27" s="2" customFormat="1" ht="35.25" customHeight="1">
      <c r="C303" s="10" t="str">
        <f>+$C$11</f>
        <v>590-Profesores Enseñanza Secundaria</v>
      </c>
      <c r="E303" s="11" t="s">
        <v>33</v>
      </c>
      <c r="F303" s="12" t="s">
        <v>120</v>
      </c>
      <c r="G303" s="12" t="s">
        <v>110</v>
      </c>
      <c r="H303" s="12" t="s">
        <v>118</v>
      </c>
      <c r="I303" s="12" t="s">
        <v>4</v>
      </c>
      <c r="J303" s="12" t="s">
        <v>112</v>
      </c>
      <c r="K303" s="12" t="s">
        <v>114</v>
      </c>
      <c r="L303" s="12" t="s">
        <v>116</v>
      </c>
      <c r="M303" s="12" t="s">
        <v>107</v>
      </c>
      <c r="N303" s="12" t="s">
        <v>105</v>
      </c>
      <c r="O303" s="13" t="s">
        <v>214</v>
      </c>
      <c r="Q303" s="14" t="s">
        <v>137</v>
      </c>
      <c r="R303" s="14"/>
      <c r="S303" s="13"/>
      <c r="T303" s="13"/>
      <c r="U303" s="13"/>
      <c r="V303" s="13"/>
      <c r="W303" s="43" t="s">
        <v>138</v>
      </c>
      <c r="X303" s="13"/>
      <c r="Y303" s="13"/>
    </row>
    <row r="304" spans="2:27" s="2" customFormat="1" ht="12.9" customHeight="1">
      <c r="B304" s="44" t="s">
        <v>91</v>
      </c>
      <c r="C304" s="16" t="str">
        <f t="shared" ref="C304:C331" si="150">IF($C$11=$F$11,F304,IF($C$11=G$11,G304,IF($C$11=H$11,H304,IF($C$11=I$11,I304,IF($C$11=J$11,J304,IF($C$11=K$11,K304,IF($C$11=L$11,L304,IF($C$11=M$11,M304,N304))))))))</f>
        <v>A1</v>
      </c>
      <c r="E304" s="45" t="s">
        <v>91</v>
      </c>
      <c r="F304" s="17" t="s">
        <v>137</v>
      </c>
      <c r="G304" s="17" t="s">
        <v>137</v>
      </c>
      <c r="H304" s="17" t="s">
        <v>137</v>
      </c>
      <c r="I304" s="17" t="s">
        <v>138</v>
      </c>
      <c r="J304" s="17" t="s">
        <v>138</v>
      </c>
      <c r="K304" s="17" t="s">
        <v>138</v>
      </c>
      <c r="L304" s="17" t="s">
        <v>138</v>
      </c>
      <c r="M304" s="17" t="s">
        <v>138</v>
      </c>
      <c r="N304" s="17" t="s">
        <v>138</v>
      </c>
      <c r="P304" s="2" t="s">
        <v>215</v>
      </c>
      <c r="R304" s="2" t="s">
        <v>20</v>
      </c>
      <c r="S304" s="2" t="s">
        <v>123</v>
      </c>
      <c r="T304" s="2" t="s">
        <v>126</v>
      </c>
      <c r="U304" s="2" t="s">
        <v>129</v>
      </c>
      <c r="V304" s="2" t="s">
        <v>130</v>
      </c>
      <c r="W304" s="2" t="s">
        <v>20</v>
      </c>
      <c r="X304" s="2" t="s">
        <v>123</v>
      </c>
      <c r="Y304" s="2" t="s">
        <v>126</v>
      </c>
      <c r="Z304" s="2" t="s">
        <v>129</v>
      </c>
      <c r="AA304" s="2" t="s">
        <v>130</v>
      </c>
    </row>
    <row r="305" spans="2:28" s="2" customFormat="1" ht="12.9" customHeight="1">
      <c r="B305" s="44" t="str">
        <f>+E305</f>
        <v>Nivel</v>
      </c>
      <c r="C305" s="16">
        <f t="shared" si="150"/>
        <v>24</v>
      </c>
      <c r="E305" s="45" t="s">
        <v>144</v>
      </c>
      <c r="F305" s="17">
        <v>21</v>
      </c>
      <c r="G305" s="17">
        <v>24</v>
      </c>
      <c r="H305" s="17">
        <v>24</v>
      </c>
      <c r="I305" s="17">
        <v>24</v>
      </c>
      <c r="J305" s="17">
        <v>24</v>
      </c>
      <c r="K305" s="17">
        <v>24</v>
      </c>
      <c r="L305" s="17">
        <v>24</v>
      </c>
      <c r="M305" s="17">
        <v>26</v>
      </c>
      <c r="N305" s="17">
        <v>26</v>
      </c>
      <c r="P305" s="2" t="s">
        <v>216</v>
      </c>
      <c r="Q305" s="2" t="s">
        <v>124</v>
      </c>
      <c r="R305" s="2">
        <v>0</v>
      </c>
      <c r="S305" s="19">
        <v>887.55</v>
      </c>
      <c r="T305" s="19"/>
      <c r="U305" s="19">
        <v>352.61</v>
      </c>
      <c r="V305" s="19">
        <f>U305</f>
        <v>352.61</v>
      </c>
      <c r="W305" s="2">
        <v>0</v>
      </c>
      <c r="X305" s="19">
        <v>1137.55</v>
      </c>
      <c r="Y305" s="19"/>
      <c r="Z305" s="19">
        <v>851.71</v>
      </c>
      <c r="AA305" s="2">
        <f>Z305</f>
        <v>851.71</v>
      </c>
      <c r="AB305" s="2" t="s">
        <v>217</v>
      </c>
    </row>
    <row r="306" spans="2:28" s="2" customFormat="1" ht="12.9" customHeight="1">
      <c r="B306" s="22" t="s">
        <v>43</v>
      </c>
      <c r="C306" s="16">
        <f t="shared" si="150"/>
        <v>1387.24</v>
      </c>
      <c r="E306" s="22" t="s">
        <v>43</v>
      </c>
      <c r="F306" s="85">
        <f>+F54</f>
        <v>1199.52</v>
      </c>
      <c r="G306" s="85">
        <f t="shared" ref="G306:I306" si="151">+G54</f>
        <v>1199.52</v>
      </c>
      <c r="H306" s="85">
        <f t="shared" si="151"/>
        <v>1199.52</v>
      </c>
      <c r="I306" s="85">
        <f t="shared" si="151"/>
        <v>1387.24</v>
      </c>
      <c r="J306" s="30">
        <f>I306</f>
        <v>1387.24</v>
      </c>
      <c r="K306" s="30">
        <f>I306</f>
        <v>1387.24</v>
      </c>
      <c r="L306" s="30">
        <f>I306</f>
        <v>1387.24</v>
      </c>
      <c r="M306" s="30">
        <f>I306</f>
        <v>1387.24</v>
      </c>
      <c r="N306" s="30">
        <f>I306</f>
        <v>1387.24</v>
      </c>
      <c r="P306" s="2" t="s">
        <v>218</v>
      </c>
      <c r="Q306" s="2" t="s">
        <v>127</v>
      </c>
      <c r="R306" s="2">
        <v>0</v>
      </c>
      <c r="S306" s="19">
        <v>803.41</v>
      </c>
      <c r="T306" s="19"/>
      <c r="U306" s="19">
        <v>331.34</v>
      </c>
      <c r="V306" s="19">
        <f t="shared" ref="V306:V309" si="152">U306</f>
        <v>331.34</v>
      </c>
      <c r="W306" s="2">
        <v>0</v>
      </c>
      <c r="X306" s="19">
        <v>989.09</v>
      </c>
      <c r="Y306" s="19"/>
      <c r="Z306" s="19">
        <v>748.67</v>
      </c>
      <c r="AA306" s="2">
        <f>Z306</f>
        <v>748.67</v>
      </c>
      <c r="AB306" s="2" t="s">
        <v>219</v>
      </c>
    </row>
    <row r="307" spans="2:28" s="2" customFormat="1" ht="12.9" customHeight="1">
      <c r="B307" s="22" t="s">
        <v>92</v>
      </c>
      <c r="C307" s="16">
        <f t="shared" si="150"/>
        <v>856.05</v>
      </c>
      <c r="E307" s="22" t="s">
        <v>92</v>
      </c>
      <c r="F307" s="30">
        <f>+F55</f>
        <v>874.83</v>
      </c>
      <c r="G307" s="30">
        <f t="shared" ref="G307:N307" si="153">+G55</f>
        <v>874.83</v>
      </c>
      <c r="H307" s="30">
        <f t="shared" si="153"/>
        <v>874.83</v>
      </c>
      <c r="I307" s="30">
        <f t="shared" si="153"/>
        <v>856.05</v>
      </c>
      <c r="J307" s="30">
        <f t="shared" si="153"/>
        <v>856.05</v>
      </c>
      <c r="K307" s="30">
        <f t="shared" si="153"/>
        <v>856.05</v>
      </c>
      <c r="L307" s="30">
        <f t="shared" si="153"/>
        <v>856.05</v>
      </c>
      <c r="M307" s="30">
        <f t="shared" si="153"/>
        <v>856.05</v>
      </c>
      <c r="N307" s="30">
        <f t="shared" si="153"/>
        <v>856.05</v>
      </c>
      <c r="P307" s="2" t="s">
        <v>220</v>
      </c>
      <c r="Q307" s="2" t="s">
        <v>22</v>
      </c>
      <c r="R307" s="2">
        <v>0</v>
      </c>
      <c r="S307" s="19">
        <v>581.41</v>
      </c>
      <c r="T307" s="19"/>
      <c r="U307" s="19">
        <v>320.72000000000003</v>
      </c>
      <c r="V307" s="19">
        <f t="shared" si="152"/>
        <v>320.72000000000003</v>
      </c>
      <c r="W307" s="2">
        <v>0</v>
      </c>
      <c r="X307" s="19">
        <v>847.1</v>
      </c>
      <c r="Y307" s="19"/>
      <c r="Z307" s="19">
        <v>645.67999999999995</v>
      </c>
      <c r="AA307" s="2">
        <f>Z307</f>
        <v>645.67999999999995</v>
      </c>
      <c r="AB307" s="2" t="s">
        <v>221</v>
      </c>
    </row>
    <row r="308" spans="2:28" s="2" customFormat="1" ht="12.9" customHeight="1">
      <c r="B308" s="22" t="s">
        <v>93</v>
      </c>
      <c r="C308" s="16">
        <f t="shared" si="150"/>
        <v>53.39</v>
      </c>
      <c r="E308" s="22" t="s">
        <v>93</v>
      </c>
      <c r="F308" s="30">
        <f>+F56</f>
        <v>43.54</v>
      </c>
      <c r="G308" s="30">
        <f t="shared" ref="G308:N308" si="154">+G56</f>
        <v>43.54</v>
      </c>
      <c r="H308" s="30">
        <f t="shared" si="154"/>
        <v>43.54</v>
      </c>
      <c r="I308" s="30">
        <f t="shared" si="154"/>
        <v>53.39</v>
      </c>
      <c r="J308" s="30">
        <f t="shared" si="154"/>
        <v>53.39</v>
      </c>
      <c r="K308" s="30">
        <f t="shared" si="154"/>
        <v>53.39</v>
      </c>
      <c r="L308" s="30">
        <f t="shared" si="154"/>
        <v>53.39</v>
      </c>
      <c r="M308" s="30">
        <f t="shared" si="154"/>
        <v>53.39</v>
      </c>
      <c r="N308" s="30">
        <f t="shared" si="154"/>
        <v>53.39</v>
      </c>
      <c r="P308" s="2" t="s">
        <v>222</v>
      </c>
      <c r="Q308" s="2" t="s">
        <v>131</v>
      </c>
      <c r="R308" s="2">
        <v>0</v>
      </c>
      <c r="S308" s="19">
        <v>429.88</v>
      </c>
      <c r="T308" s="19"/>
      <c r="U308" s="19">
        <v>235.66</v>
      </c>
      <c r="V308" s="19">
        <f t="shared" si="152"/>
        <v>235.66</v>
      </c>
      <c r="W308" s="2">
        <v>0</v>
      </c>
      <c r="X308" s="19">
        <v>783.16</v>
      </c>
      <c r="Y308" s="19"/>
      <c r="Z308" s="19">
        <v>594.71</v>
      </c>
      <c r="AA308" s="2">
        <f>Z308</f>
        <v>594.71</v>
      </c>
      <c r="AB308" s="2" t="s">
        <v>223</v>
      </c>
    </row>
    <row r="309" spans="2:28" s="2" customFormat="1" ht="12.9" customHeight="1">
      <c r="B309" s="22" t="s">
        <v>95</v>
      </c>
      <c r="C309" s="16">
        <f t="shared" si="150"/>
        <v>32.96</v>
      </c>
      <c r="E309" s="22" t="s">
        <v>95</v>
      </c>
      <c r="F309" s="30">
        <f>+F57</f>
        <v>31.74</v>
      </c>
      <c r="G309" s="30">
        <f t="shared" ref="G309:N309" si="155">+G57</f>
        <v>31.74</v>
      </c>
      <c r="H309" s="30">
        <f t="shared" si="155"/>
        <v>31.74</v>
      </c>
      <c r="I309" s="30">
        <f t="shared" si="155"/>
        <v>32.96</v>
      </c>
      <c r="J309" s="30">
        <f t="shared" si="155"/>
        <v>32.96</v>
      </c>
      <c r="K309" s="30">
        <f t="shared" si="155"/>
        <v>32.96</v>
      </c>
      <c r="L309" s="30">
        <f t="shared" si="155"/>
        <v>32.96</v>
      </c>
      <c r="M309" s="30">
        <f t="shared" si="155"/>
        <v>32.96</v>
      </c>
      <c r="N309" s="30">
        <f t="shared" si="155"/>
        <v>32.96</v>
      </c>
      <c r="P309" s="2" t="s">
        <v>224</v>
      </c>
      <c r="Q309" s="2" t="s">
        <v>133</v>
      </c>
      <c r="R309" s="2">
        <v>0</v>
      </c>
      <c r="S309" s="19">
        <v>262.26</v>
      </c>
      <c r="T309" s="26"/>
      <c r="U309" s="19">
        <v>183.7</v>
      </c>
      <c r="V309" s="19">
        <f t="shared" si="152"/>
        <v>183.7</v>
      </c>
      <c r="W309" s="2">
        <v>0</v>
      </c>
      <c r="X309" s="19"/>
      <c r="Y309" s="26"/>
      <c r="Z309" s="19"/>
      <c r="AA309" s="26"/>
    </row>
    <row r="310" spans="2:28" s="2" customFormat="1" ht="12.9" customHeight="1">
      <c r="B310" s="22" t="s">
        <v>46</v>
      </c>
      <c r="C310" s="16">
        <f t="shared" si="150"/>
        <v>729.14</v>
      </c>
      <c r="E310" s="22" t="s">
        <v>46</v>
      </c>
      <c r="F310" s="27">
        <v>592.11</v>
      </c>
      <c r="G310" s="27">
        <v>729.14</v>
      </c>
      <c r="H310" s="23">
        <f>G310</f>
        <v>729.14</v>
      </c>
      <c r="I310" s="23">
        <f>G310</f>
        <v>729.14</v>
      </c>
      <c r="J310" s="23">
        <f>G310</f>
        <v>729.14</v>
      </c>
      <c r="K310" s="23">
        <f>G310</f>
        <v>729.14</v>
      </c>
      <c r="L310" s="23">
        <f>G310</f>
        <v>729.14</v>
      </c>
      <c r="M310" s="27">
        <v>873.38</v>
      </c>
      <c r="N310" s="27">
        <v>1022.22</v>
      </c>
      <c r="P310" s="2" t="s">
        <v>225</v>
      </c>
      <c r="Q310" s="2" t="s">
        <v>134</v>
      </c>
      <c r="R310" s="2">
        <v>0</v>
      </c>
      <c r="S310" s="19">
        <v>113.22</v>
      </c>
      <c r="T310" s="26"/>
      <c r="U310" s="26"/>
      <c r="V310" s="26"/>
      <c r="W310" s="2">
        <v>0</v>
      </c>
      <c r="X310" s="19"/>
      <c r="Y310" s="26"/>
      <c r="Z310" s="19"/>
      <c r="AA310" s="26"/>
    </row>
    <row r="311" spans="2:28" s="2" customFormat="1" ht="12.9" customHeight="1">
      <c r="B311" s="22" t="s">
        <v>48</v>
      </c>
      <c r="C311" s="16">
        <f t="shared" si="150"/>
        <v>720.83</v>
      </c>
      <c r="E311" s="22" t="s">
        <v>48</v>
      </c>
      <c r="F311" s="27">
        <v>704.95</v>
      </c>
      <c r="G311" s="27">
        <v>720.83</v>
      </c>
      <c r="H311" s="23">
        <f>+G311</f>
        <v>720.83</v>
      </c>
      <c r="I311" s="23">
        <f>+H311</f>
        <v>720.83</v>
      </c>
      <c r="J311" s="23">
        <f>+I311</f>
        <v>720.83</v>
      </c>
      <c r="K311" s="23">
        <f>+J311</f>
        <v>720.83</v>
      </c>
      <c r="L311" s="23">
        <f>+K311</f>
        <v>720.83</v>
      </c>
      <c r="M311" s="27">
        <v>785.45</v>
      </c>
      <c r="N311" s="46">
        <v>1002.89</v>
      </c>
    </row>
    <row r="312" spans="2:28" s="2" customFormat="1" ht="12.9" customHeight="1">
      <c r="B312" s="29" t="s">
        <v>49</v>
      </c>
      <c r="C312" s="16">
        <f t="shared" si="150"/>
        <v>0</v>
      </c>
      <c r="E312" s="29" t="s">
        <v>49</v>
      </c>
      <c r="F312" s="23"/>
      <c r="G312" s="23"/>
      <c r="H312" s="23"/>
      <c r="I312" s="23"/>
      <c r="J312" s="23"/>
      <c r="K312" s="23"/>
      <c r="L312" s="23"/>
      <c r="M312" s="23"/>
      <c r="N312" s="23"/>
    </row>
    <row r="313" spans="2:28" s="2" customFormat="1" ht="12.9" customHeight="1">
      <c r="B313" s="29" t="s">
        <v>98</v>
      </c>
      <c r="C313" s="16">
        <f t="shared" si="150"/>
        <v>0</v>
      </c>
      <c r="E313" s="29" t="s">
        <v>98</v>
      </c>
      <c r="F313" s="23"/>
      <c r="G313" s="23"/>
      <c r="H313" s="23"/>
      <c r="I313" s="23"/>
      <c r="J313" s="23">
        <f>+I313</f>
        <v>0</v>
      </c>
      <c r="K313" s="23">
        <f t="shared" ref="K313:N319" si="156">+J313</f>
        <v>0</v>
      </c>
      <c r="L313" s="23">
        <f t="shared" si="156"/>
        <v>0</v>
      </c>
      <c r="M313" s="23">
        <f t="shared" si="156"/>
        <v>0</v>
      </c>
      <c r="N313" s="23">
        <f t="shared" si="156"/>
        <v>0</v>
      </c>
    </row>
    <row r="314" spans="2:28" s="2" customFormat="1" ht="12.9" customHeight="1">
      <c r="B314" s="29" t="s">
        <v>52</v>
      </c>
      <c r="C314" s="16">
        <f t="shared" si="150"/>
        <v>128.88</v>
      </c>
      <c r="E314" s="29" t="s">
        <v>52</v>
      </c>
      <c r="F314" s="27">
        <v>128.88</v>
      </c>
      <c r="G314" s="23">
        <f t="shared" ref="G314:I319" si="157">+F314</f>
        <v>128.88</v>
      </c>
      <c r="H314" s="23">
        <f t="shared" si="157"/>
        <v>128.88</v>
      </c>
      <c r="I314" s="23">
        <f t="shared" si="157"/>
        <v>128.88</v>
      </c>
      <c r="J314" s="23">
        <f t="shared" ref="J314:J319" si="158">+I314</f>
        <v>128.88</v>
      </c>
      <c r="K314" s="23">
        <f t="shared" si="156"/>
        <v>128.88</v>
      </c>
      <c r="L314" s="23">
        <f t="shared" si="156"/>
        <v>128.88</v>
      </c>
      <c r="M314" s="23">
        <f t="shared" si="156"/>
        <v>128.88</v>
      </c>
      <c r="N314" s="23">
        <f t="shared" si="156"/>
        <v>128.88</v>
      </c>
    </row>
    <row r="315" spans="2:28" s="2" customFormat="1" ht="12.9" customHeight="1">
      <c r="B315" s="29" t="s">
        <v>54</v>
      </c>
      <c r="C315" s="16">
        <f t="shared" si="150"/>
        <v>136.54</v>
      </c>
      <c r="E315" s="29" t="s">
        <v>54</v>
      </c>
      <c r="F315" s="27">
        <v>136.54</v>
      </c>
      <c r="G315" s="23">
        <f t="shared" si="157"/>
        <v>136.54</v>
      </c>
      <c r="H315" s="23">
        <f t="shared" si="157"/>
        <v>136.54</v>
      </c>
      <c r="I315" s="23">
        <f t="shared" si="157"/>
        <v>136.54</v>
      </c>
      <c r="J315" s="23">
        <f t="shared" si="158"/>
        <v>136.54</v>
      </c>
      <c r="K315" s="23">
        <f t="shared" si="156"/>
        <v>136.54</v>
      </c>
      <c r="L315" s="23">
        <f t="shared" si="156"/>
        <v>136.54</v>
      </c>
      <c r="M315" s="23">
        <f t="shared" si="156"/>
        <v>136.54</v>
      </c>
      <c r="N315" s="23">
        <f t="shared" si="156"/>
        <v>136.54</v>
      </c>
    </row>
    <row r="316" spans="2:28" s="2" customFormat="1" ht="12.9" customHeight="1">
      <c r="B316" s="29" t="s">
        <v>56</v>
      </c>
      <c r="C316" s="16">
        <f t="shared" si="150"/>
        <v>153.66</v>
      </c>
      <c r="E316" s="29" t="s">
        <v>56</v>
      </c>
      <c r="F316" s="27">
        <v>153.66</v>
      </c>
      <c r="G316" s="23">
        <f t="shared" si="157"/>
        <v>153.66</v>
      </c>
      <c r="H316" s="23">
        <f t="shared" si="157"/>
        <v>153.66</v>
      </c>
      <c r="I316" s="23">
        <f t="shared" si="157"/>
        <v>153.66</v>
      </c>
      <c r="J316" s="23">
        <f t="shared" si="158"/>
        <v>153.66</v>
      </c>
      <c r="K316" s="23">
        <f t="shared" si="156"/>
        <v>153.66</v>
      </c>
      <c r="L316" s="23">
        <f t="shared" si="156"/>
        <v>153.66</v>
      </c>
      <c r="M316" s="23">
        <f t="shared" si="156"/>
        <v>153.66</v>
      </c>
      <c r="N316" s="23">
        <f t="shared" si="156"/>
        <v>153.66</v>
      </c>
    </row>
    <row r="317" spans="2:28" s="2" customFormat="1" ht="12.9" customHeight="1">
      <c r="B317" s="29" t="s">
        <v>58</v>
      </c>
      <c r="C317" s="16">
        <f t="shared" si="150"/>
        <v>166.39</v>
      </c>
      <c r="E317" s="29" t="s">
        <v>58</v>
      </c>
      <c r="F317" s="27">
        <v>166.39</v>
      </c>
      <c r="G317" s="23">
        <f t="shared" si="157"/>
        <v>166.39</v>
      </c>
      <c r="H317" s="23">
        <f t="shared" si="157"/>
        <v>166.39</v>
      </c>
      <c r="I317" s="23">
        <f t="shared" si="157"/>
        <v>166.39</v>
      </c>
      <c r="J317" s="23">
        <f t="shared" si="158"/>
        <v>166.39</v>
      </c>
      <c r="K317" s="23">
        <f t="shared" si="156"/>
        <v>166.39</v>
      </c>
      <c r="L317" s="23">
        <f t="shared" si="156"/>
        <v>166.39</v>
      </c>
      <c r="M317" s="23">
        <f t="shared" si="156"/>
        <v>166.39</v>
      </c>
      <c r="N317" s="23">
        <f t="shared" si="156"/>
        <v>166.39</v>
      </c>
    </row>
    <row r="318" spans="2:28" s="2" customFormat="1" ht="12.9" customHeight="1">
      <c r="B318" s="29" t="s">
        <v>60</v>
      </c>
      <c r="C318" s="16">
        <f t="shared" si="150"/>
        <v>145.85</v>
      </c>
      <c r="E318" s="29" t="s">
        <v>60</v>
      </c>
      <c r="F318" s="27">
        <v>145.85</v>
      </c>
      <c r="G318" s="23">
        <f t="shared" si="157"/>
        <v>145.85</v>
      </c>
      <c r="H318" s="23">
        <f t="shared" si="157"/>
        <v>145.85</v>
      </c>
      <c r="I318" s="23">
        <f t="shared" si="157"/>
        <v>145.85</v>
      </c>
      <c r="J318" s="23">
        <f t="shared" si="158"/>
        <v>145.85</v>
      </c>
      <c r="K318" s="23">
        <f t="shared" si="156"/>
        <v>145.85</v>
      </c>
      <c r="L318" s="23">
        <f t="shared" si="156"/>
        <v>145.85</v>
      </c>
      <c r="M318" s="23">
        <f t="shared" si="156"/>
        <v>145.85</v>
      </c>
      <c r="N318" s="23">
        <f t="shared" si="156"/>
        <v>145.85</v>
      </c>
    </row>
    <row r="319" spans="2:28" s="2" customFormat="1" ht="12.9" customHeight="1">
      <c r="B319" s="29" t="s">
        <v>103</v>
      </c>
      <c r="C319" s="16">
        <f t="shared" si="150"/>
        <v>93.6</v>
      </c>
      <c r="E319" s="29" t="s">
        <v>103</v>
      </c>
      <c r="F319" s="27">
        <v>66.56</v>
      </c>
      <c r="G319" s="27">
        <v>93.6</v>
      </c>
      <c r="H319" s="23">
        <f t="shared" si="157"/>
        <v>93.6</v>
      </c>
      <c r="I319" s="23">
        <f t="shared" si="157"/>
        <v>93.6</v>
      </c>
      <c r="J319" s="23">
        <f t="shared" si="158"/>
        <v>93.6</v>
      </c>
      <c r="K319" s="23">
        <f t="shared" si="156"/>
        <v>93.6</v>
      </c>
      <c r="L319" s="23">
        <f t="shared" si="156"/>
        <v>93.6</v>
      </c>
      <c r="M319" s="23">
        <f t="shared" si="156"/>
        <v>93.6</v>
      </c>
      <c r="N319" s="23"/>
    </row>
    <row r="320" spans="2:28" s="2" customFormat="1" ht="12.9" customHeight="1">
      <c r="B320" s="29" t="s">
        <v>19</v>
      </c>
      <c r="C320" s="16">
        <f t="shared" si="150"/>
        <v>0</v>
      </c>
      <c r="E320" s="29" t="s">
        <v>19</v>
      </c>
      <c r="F320" s="30">
        <f>IF($C$1=F303,'Nómina mensual'!$K$29,0)</f>
        <v>0</v>
      </c>
      <c r="G320" s="30">
        <f>IF($C$1=G303,'Nómina mensual'!$K$29,0)</f>
        <v>0</v>
      </c>
      <c r="H320" s="30">
        <f>IF($C$1=H303,'Nómina mensual'!$K$29,0)</f>
        <v>0</v>
      </c>
      <c r="I320" s="30">
        <f>IF($C$1=I303,'Nómina mensual'!$K$29,0)</f>
        <v>0</v>
      </c>
      <c r="J320" s="30">
        <f>IF($C$1=J303,'Nómina mensual'!$K$29,0)</f>
        <v>0</v>
      </c>
      <c r="K320" s="30">
        <f>IF($C$1=K303,'Nómina mensual'!$K$29,0)</f>
        <v>0</v>
      </c>
      <c r="L320" s="30">
        <f>IF($C$1=L303,'Nómina mensual'!$K$29,0)</f>
        <v>0</v>
      </c>
      <c r="M320" s="30">
        <f>IF($C$1=M303,'Nómina mensual'!$K$29,0)</f>
        <v>0</v>
      </c>
      <c r="N320" s="23"/>
    </row>
    <row r="321" spans="2:14" s="2" customFormat="1" ht="12.9" customHeight="1">
      <c r="B321" s="31" t="s">
        <v>104</v>
      </c>
      <c r="C321" s="16">
        <f t="shared" si="150"/>
        <v>0</v>
      </c>
      <c r="E321" s="31" t="s">
        <v>104</v>
      </c>
      <c r="F321" s="23"/>
      <c r="G321" s="23"/>
      <c r="H321" s="23"/>
      <c r="I321" s="23"/>
      <c r="J321" s="23"/>
      <c r="K321" s="23"/>
      <c r="L321" s="23"/>
      <c r="M321" s="23"/>
      <c r="N321" s="23"/>
    </row>
    <row r="322" spans="2:14" s="2" customFormat="1" ht="12.9" customHeight="1">
      <c r="B322" s="31" t="s">
        <v>106</v>
      </c>
      <c r="C322" s="16">
        <f t="shared" si="150"/>
        <v>0</v>
      </c>
      <c r="E322" s="31" t="s">
        <v>106</v>
      </c>
      <c r="F322" s="23"/>
      <c r="G322" s="23"/>
      <c r="H322" s="23"/>
      <c r="I322" s="23"/>
      <c r="J322" s="23"/>
      <c r="K322" s="23"/>
      <c r="L322" s="23"/>
      <c r="M322" s="23"/>
      <c r="N322" s="23"/>
    </row>
    <row r="323" spans="2:14" s="2" customFormat="1" ht="12.9" customHeight="1">
      <c r="B323" s="31" t="s">
        <v>108</v>
      </c>
      <c r="C323" s="16">
        <f t="shared" si="150"/>
        <v>0</v>
      </c>
      <c r="E323" s="31" t="s">
        <v>108</v>
      </c>
      <c r="F323" s="23"/>
      <c r="G323" s="23"/>
      <c r="H323" s="23"/>
      <c r="I323" s="23"/>
      <c r="J323" s="23"/>
      <c r="K323" s="23"/>
      <c r="L323" s="23"/>
      <c r="M323" s="23"/>
      <c r="N323" s="23"/>
    </row>
    <row r="324" spans="2:14" s="2" customFormat="1" ht="12.9" customHeight="1">
      <c r="B324" s="33" t="s">
        <v>109</v>
      </c>
      <c r="C324" s="16">
        <f t="shared" si="150"/>
        <v>0</v>
      </c>
      <c r="E324" s="33" t="s">
        <v>109</v>
      </c>
      <c r="F324" s="27">
        <v>137.03</v>
      </c>
      <c r="G324" s="23"/>
      <c r="H324" s="23"/>
      <c r="I324" s="23"/>
      <c r="J324" s="23"/>
      <c r="K324" s="23"/>
      <c r="L324" s="23"/>
      <c r="M324" s="23"/>
      <c r="N324" s="23"/>
    </row>
    <row r="325" spans="2:14" s="2" customFormat="1" ht="12.9" customHeight="1">
      <c r="B325" s="34" t="s">
        <v>141</v>
      </c>
      <c r="C325" s="16">
        <f t="shared" si="150"/>
        <v>0</v>
      </c>
      <c r="E325" s="34" t="s">
        <v>141</v>
      </c>
      <c r="F325" s="23"/>
      <c r="G325" s="23"/>
      <c r="H325" s="23"/>
      <c r="I325" s="23"/>
      <c r="J325" s="23"/>
      <c r="K325" s="23"/>
      <c r="L325" s="23"/>
      <c r="M325" s="23"/>
      <c r="N325" s="23"/>
    </row>
    <row r="326" spans="2:14" s="2" customFormat="1" ht="12.9" customHeight="1">
      <c r="B326" s="34" t="s">
        <v>113</v>
      </c>
      <c r="C326" s="16">
        <f t="shared" si="150"/>
        <v>0</v>
      </c>
      <c r="E326" s="34" t="s">
        <v>113</v>
      </c>
      <c r="F326" s="23"/>
      <c r="G326" s="23"/>
      <c r="H326" s="23"/>
      <c r="I326" s="23"/>
      <c r="J326" s="23"/>
      <c r="K326" s="23"/>
      <c r="L326" s="23"/>
      <c r="M326" s="23"/>
      <c r="N326" s="23"/>
    </row>
    <row r="327" spans="2:14" s="2" customFormat="1" ht="12.9" customHeight="1">
      <c r="B327" s="34" t="s">
        <v>115</v>
      </c>
      <c r="C327" s="16">
        <f t="shared" si="150"/>
        <v>0</v>
      </c>
      <c r="E327" s="34" t="s">
        <v>115</v>
      </c>
      <c r="F327" s="23"/>
      <c r="G327" s="23"/>
      <c r="H327" s="23"/>
      <c r="I327" s="23"/>
      <c r="J327" s="23"/>
      <c r="K327" s="23"/>
      <c r="L327" s="23"/>
      <c r="M327" s="23"/>
      <c r="N327" s="23"/>
    </row>
    <row r="328" spans="2:14" s="2" customFormat="1" ht="12.9" customHeight="1">
      <c r="B328" s="35" t="s">
        <v>117</v>
      </c>
      <c r="C328" s="16">
        <f t="shared" si="150"/>
        <v>0</v>
      </c>
      <c r="E328" s="35" t="s">
        <v>117</v>
      </c>
      <c r="F328" s="23"/>
      <c r="G328" s="23"/>
      <c r="H328" s="23"/>
      <c r="I328" s="23"/>
      <c r="J328" s="23"/>
      <c r="K328" s="23"/>
      <c r="L328" s="23"/>
      <c r="M328" s="23"/>
      <c r="N328" s="23"/>
    </row>
    <row r="329" spans="2:14" s="2" customFormat="1" ht="12.9" customHeight="1">
      <c r="B329" s="39" t="s">
        <v>119</v>
      </c>
      <c r="C329" s="16">
        <f t="shared" si="150"/>
        <v>-51.68</v>
      </c>
      <c r="E329" s="39" t="s">
        <v>119</v>
      </c>
      <c r="F329" s="50">
        <f>+F77</f>
        <v>-40.68</v>
      </c>
      <c r="G329" s="50">
        <f t="shared" ref="G329:N329" si="159">+G77</f>
        <v>-40.68</v>
      </c>
      <c r="H329" s="50">
        <f t="shared" si="159"/>
        <v>-40.68</v>
      </c>
      <c r="I329" s="50">
        <f t="shared" si="159"/>
        <v>-51.68</v>
      </c>
      <c r="J329" s="50">
        <f t="shared" si="159"/>
        <v>-51.68</v>
      </c>
      <c r="K329" s="50">
        <f t="shared" si="159"/>
        <v>-51.68</v>
      </c>
      <c r="L329" s="50">
        <f t="shared" si="159"/>
        <v>-51.68</v>
      </c>
      <c r="M329" s="50">
        <f t="shared" si="159"/>
        <v>-51.68</v>
      </c>
      <c r="N329" s="50">
        <f t="shared" si="159"/>
        <v>-51.68</v>
      </c>
    </row>
    <row r="330" spans="2:14" s="2" customFormat="1" ht="12.9" customHeight="1">
      <c r="B330" s="39" t="s">
        <v>121</v>
      </c>
      <c r="C330" s="16">
        <f t="shared" si="150"/>
        <v>118.04</v>
      </c>
      <c r="E330" s="39" t="s">
        <v>121</v>
      </c>
      <c r="F330" s="50">
        <f>+F78</f>
        <v>-92.9</v>
      </c>
      <c r="G330" s="50">
        <f t="shared" ref="G330:N330" si="160">+G78</f>
        <v>-92.9</v>
      </c>
      <c r="H330" s="50">
        <f t="shared" si="160"/>
        <v>-92.9</v>
      </c>
      <c r="I330" s="50">
        <f t="shared" si="160"/>
        <v>118.04</v>
      </c>
      <c r="J330" s="50">
        <f t="shared" si="160"/>
        <v>118.04</v>
      </c>
      <c r="K330" s="50">
        <f t="shared" si="160"/>
        <v>118.04</v>
      </c>
      <c r="L330" s="50">
        <f t="shared" si="160"/>
        <v>118.04</v>
      </c>
      <c r="M330" s="50">
        <f t="shared" si="160"/>
        <v>118.04</v>
      </c>
      <c r="N330" s="50">
        <f t="shared" si="160"/>
        <v>118.04</v>
      </c>
    </row>
    <row r="331" spans="2:14">
      <c r="B331" s="41" t="s">
        <v>80</v>
      </c>
      <c r="C331" s="16">
        <f t="shared" si="150"/>
        <v>39365.160000000003</v>
      </c>
      <c r="E331" s="42" t="s">
        <v>80</v>
      </c>
      <c r="F331" s="3">
        <f>((+F306+F310+F311+F312)*12)+(F308*INT($C$3/3)*12)+((F307+F310)*2)+((F311+F312)*2)+(F320*14)+(F309*INT($C$3/3)*2)+(IF($C$4="s",F324,0))+(((IF(INT($C$3/3)&lt;6,F313,0))+(IF(AND(INT($C$3/6)&gt;0,INT($C$3/6)&lt;2),F314,0))+(IF(AND(INT($C$3/6)&gt;1,INT($C$3/6)&lt;3),F314+F315,0))+(IF(AND(INT($C$3/6)&gt;2,INT($C$3/6)&lt;4),F314+F315+F316,0))+(IF(AND(INT($C$3/6)&gt;3,INT($C$3/6)&lt;5),F314+F315+F316+F317,0))+(IF(INT($C$3/6)&gt;4,F314+F315+F316+F317+F318,0)))*12)+(IF($C$7="s",F319*12,0))++(((IF(INT($C$3/3)&lt;6,F313,0))+(IF(AND(INT($C$3/6)&gt;0,INT($C$3/6)&lt;2),F314,0))+(IF(AND(INT($C$3/6)&gt;1,INT($C$3/6)&lt;3),F314+F315,0))+(IF(AND(INT($C$3/6)&gt;2,INT($C$3/6)&lt;4),F314+F315+F316,0))+(IF(AND(INT($C$3/6)&gt;3,INT($C$3/6)&lt;5),F314+F315+F316+F317,0))+(IF(INT($C$3/6)&gt;4,F314+F315+F316+F317+F318,0)))*2)+(F325*12)+(F326*2)</f>
        <v>34888.700000000004</v>
      </c>
      <c r="G331" s="3">
        <f t="shared" ref="G331:N331" si="161">((+G306+G310+G311+G312)*12)+(G308*INT($C$3/3)*12)+((G307+G310)*2)+((G311+G312)*2)+(G320*14)+(G309*INT($C$3/3)*2)+(IF($C$4="s",G324,0))+(((IF(INT($C$3/3)&lt;6,G313,0))+(IF(AND(INT($C$3/6)&gt;0,INT($C$3/6)&lt;2),G314,0))+(IF(AND(INT($C$3/6)&gt;1,INT($C$3/6)&lt;3),G314+G315,0))+(IF(AND(INT($C$3/6)&gt;2,INT($C$3/6)&lt;4),G314+G315+G316,0))+(IF(AND(INT($C$3/6)&gt;3,INT($C$3/6)&lt;5),G314+G315+G316+G317,0))+(IF(INT($C$3/6)&gt;4,G314+G315+G316+G317+G318,0)))*12)+(IF($C$7="s",G319*12,0))++(((IF(INT($C$3/3)&lt;6,G313,0))+(IF(AND(INT($C$3/6)&gt;0,INT($C$3/6)&lt;2),G314,0))+(IF(AND(INT($C$3/6)&gt;1,INT($C$3/6)&lt;3),G314+G315,0))+(IF(AND(INT($C$3/6)&gt;2,INT($C$3/6)&lt;4),G314+G315+G316,0))+(IF(AND(INT($C$3/6)&gt;3,INT($C$3/6)&lt;5),G314+G315+G316+G317,0))+(IF(INT($C$3/6)&gt;4,G314+G315+G316+G317+G318,0)))*2)+(G325*12)+(G326*2)</f>
        <v>37029.440000000002</v>
      </c>
      <c r="H331" s="3">
        <f t="shared" si="161"/>
        <v>37029.440000000002</v>
      </c>
      <c r="I331" s="3">
        <f t="shared" si="161"/>
        <v>39365.160000000003</v>
      </c>
      <c r="J331" s="3">
        <f t="shared" si="161"/>
        <v>39365.160000000003</v>
      </c>
      <c r="K331" s="3">
        <f t="shared" si="161"/>
        <v>39365.160000000003</v>
      </c>
      <c r="L331" s="3">
        <f t="shared" si="161"/>
        <v>39365.160000000003</v>
      </c>
      <c r="M331" s="3">
        <f t="shared" si="161"/>
        <v>42289.2</v>
      </c>
      <c r="N331" s="3">
        <f t="shared" si="161"/>
        <v>47417.119999999995</v>
      </c>
    </row>
    <row r="338" spans="2:27" s="2" customFormat="1" ht="12.9" customHeight="1">
      <c r="B338" s="9"/>
      <c r="C338" s="2" t="str">
        <f>+E339</f>
        <v>Extremadura</v>
      </c>
    </row>
    <row r="339" spans="2:27" s="2" customFormat="1" ht="35.25" customHeight="1">
      <c r="C339" s="10" t="str">
        <f>+$C$11</f>
        <v>590-Profesores Enseñanza Secundaria</v>
      </c>
      <c r="E339" s="11" t="s">
        <v>34</v>
      </c>
      <c r="F339" s="12" t="s">
        <v>120</v>
      </c>
      <c r="G339" s="12" t="s">
        <v>110</v>
      </c>
      <c r="H339" s="12" t="s">
        <v>118</v>
      </c>
      <c r="I339" s="12" t="s">
        <v>4</v>
      </c>
      <c r="J339" s="12" t="s">
        <v>112</v>
      </c>
      <c r="K339" s="12" t="s">
        <v>114</v>
      </c>
      <c r="L339" s="12" t="s">
        <v>116</v>
      </c>
      <c r="M339" s="12" t="s">
        <v>107</v>
      </c>
      <c r="N339" s="12" t="s">
        <v>105</v>
      </c>
      <c r="Q339" s="14" t="s">
        <v>137</v>
      </c>
      <c r="R339" s="14"/>
      <c r="S339" s="13"/>
      <c r="T339" s="13"/>
      <c r="U339" s="13"/>
      <c r="V339" s="13"/>
      <c r="W339" s="43" t="s">
        <v>138</v>
      </c>
      <c r="X339" s="13"/>
      <c r="Y339" s="13"/>
    </row>
    <row r="340" spans="2:27" s="2" customFormat="1" ht="12.9" customHeight="1">
      <c r="B340" s="44" t="s">
        <v>91</v>
      </c>
      <c r="C340" s="16" t="str">
        <f t="shared" ref="C340:C367" si="162">IF($C$11=$F$11,F340,IF($C$11=G$11,G340,IF($C$11=H$11,H340,IF($C$11=I$11,I340,IF($C$11=J$11,J340,IF($C$11=K$11,K340,IF($C$11=L$11,L340,IF($C$11=M$11,M340,N340))))))))</f>
        <v>A1</v>
      </c>
      <c r="E340" s="45" t="s">
        <v>91</v>
      </c>
      <c r="F340" s="17" t="s">
        <v>137</v>
      </c>
      <c r="G340" s="17" t="s">
        <v>137</v>
      </c>
      <c r="H340" s="17" t="s">
        <v>137</v>
      </c>
      <c r="I340" s="17" t="s">
        <v>138</v>
      </c>
      <c r="J340" s="17" t="s">
        <v>138</v>
      </c>
      <c r="K340" s="17" t="s">
        <v>138</v>
      </c>
      <c r="L340" s="17" t="s">
        <v>138</v>
      </c>
      <c r="M340" s="17" t="s">
        <v>138</v>
      </c>
      <c r="N340" s="17" t="s">
        <v>138</v>
      </c>
      <c r="R340" s="2" t="s">
        <v>20</v>
      </c>
      <c r="S340" s="2" t="s">
        <v>123</v>
      </c>
      <c r="T340" s="2" t="s">
        <v>126</v>
      </c>
      <c r="U340" s="2" t="s">
        <v>129</v>
      </c>
      <c r="V340" s="2" t="s">
        <v>130</v>
      </c>
      <c r="W340" s="2" t="s">
        <v>20</v>
      </c>
      <c r="X340" s="2" t="s">
        <v>123</v>
      </c>
      <c r="Y340" s="2" t="s">
        <v>126</v>
      </c>
      <c r="Z340" s="2" t="s">
        <v>129</v>
      </c>
      <c r="AA340" s="2" t="s">
        <v>130</v>
      </c>
    </row>
    <row r="341" spans="2:27" s="2" customFormat="1" ht="12.9" customHeight="1">
      <c r="B341" s="44" t="str">
        <f>+E341</f>
        <v>Nivel</v>
      </c>
      <c r="C341" s="16">
        <f t="shared" si="162"/>
        <v>24</v>
      </c>
      <c r="E341" s="45" t="s">
        <v>144</v>
      </c>
      <c r="F341" s="17">
        <v>21</v>
      </c>
      <c r="G341" s="17">
        <v>24</v>
      </c>
      <c r="H341" s="17">
        <v>24</v>
      </c>
      <c r="I341" s="17">
        <v>24</v>
      </c>
      <c r="J341" s="17">
        <v>24</v>
      </c>
      <c r="K341" s="17">
        <v>24</v>
      </c>
      <c r="L341" s="17">
        <v>24</v>
      </c>
      <c r="M341" s="17">
        <v>26</v>
      </c>
      <c r="N341" s="17">
        <v>26</v>
      </c>
      <c r="Q341" s="2" t="s">
        <v>124</v>
      </c>
      <c r="R341" s="2">
        <v>0</v>
      </c>
      <c r="S341" s="19">
        <v>563.83000000000004</v>
      </c>
      <c r="T341" s="19"/>
      <c r="U341" s="19">
        <v>196.19</v>
      </c>
      <c r="V341" s="19">
        <f>U341</f>
        <v>196.19</v>
      </c>
      <c r="W341" s="2">
        <v>0</v>
      </c>
      <c r="X341" s="19">
        <v>687.96</v>
      </c>
      <c r="Y341" s="19">
        <v>302.67</v>
      </c>
      <c r="Z341" s="19">
        <v>302.67</v>
      </c>
      <c r="AA341" s="19">
        <f>Z341</f>
        <v>302.67</v>
      </c>
    </row>
    <row r="342" spans="2:27" s="2" customFormat="1" ht="12.9" customHeight="1">
      <c r="B342" s="22" t="s">
        <v>43</v>
      </c>
      <c r="C342" s="16">
        <f t="shared" si="162"/>
        <v>1387.24</v>
      </c>
      <c r="E342" s="22" t="s">
        <v>43</v>
      </c>
      <c r="F342" s="86">
        <f t="shared" ref="F342:N342" si="163">+F54</f>
        <v>1199.52</v>
      </c>
      <c r="G342" s="23">
        <f t="shared" si="163"/>
        <v>1199.52</v>
      </c>
      <c r="H342" s="23">
        <f t="shared" si="163"/>
        <v>1199.52</v>
      </c>
      <c r="I342" s="86">
        <f t="shared" si="163"/>
        <v>1387.24</v>
      </c>
      <c r="J342" s="23">
        <f t="shared" si="163"/>
        <v>1387.24</v>
      </c>
      <c r="K342" s="23">
        <f t="shared" si="163"/>
        <v>1387.24</v>
      </c>
      <c r="L342" s="23">
        <f t="shared" si="163"/>
        <v>1387.24</v>
      </c>
      <c r="M342" s="23">
        <f t="shared" si="163"/>
        <v>1387.24</v>
      </c>
      <c r="N342" s="23">
        <f t="shared" si="163"/>
        <v>1387.24</v>
      </c>
      <c r="Q342" s="2" t="s">
        <v>127</v>
      </c>
      <c r="R342" s="2">
        <v>0</v>
      </c>
      <c r="S342" s="19">
        <v>510.38</v>
      </c>
      <c r="T342" s="19"/>
      <c r="U342" s="19">
        <v>184.36</v>
      </c>
      <c r="V342" s="19">
        <f>U342</f>
        <v>184.36</v>
      </c>
      <c r="W342" s="2">
        <v>0</v>
      </c>
      <c r="X342" s="19">
        <v>592.58000000000004</v>
      </c>
      <c r="Y342" s="19">
        <v>296.77999999999997</v>
      </c>
      <c r="Z342" s="19">
        <v>296.77999999999997</v>
      </c>
      <c r="AA342" s="19">
        <f>Z342</f>
        <v>296.77999999999997</v>
      </c>
    </row>
    <row r="343" spans="2:27" s="2" customFormat="1" ht="12.9" customHeight="1">
      <c r="B343" s="22" t="s">
        <v>92</v>
      </c>
      <c r="C343" s="16">
        <f t="shared" si="162"/>
        <v>856.05</v>
      </c>
      <c r="E343" s="22" t="s">
        <v>92</v>
      </c>
      <c r="F343" s="25">
        <f t="shared" ref="F343:N343" si="164">+F55</f>
        <v>874.83</v>
      </c>
      <c r="G343" s="25">
        <f t="shared" si="164"/>
        <v>874.83</v>
      </c>
      <c r="H343" s="25">
        <f t="shared" si="164"/>
        <v>874.83</v>
      </c>
      <c r="I343" s="25">
        <f t="shared" si="164"/>
        <v>856.05</v>
      </c>
      <c r="J343" s="25">
        <f t="shared" si="164"/>
        <v>856.05</v>
      </c>
      <c r="K343" s="25">
        <f t="shared" si="164"/>
        <v>856.05</v>
      </c>
      <c r="L343" s="25">
        <f t="shared" si="164"/>
        <v>856.05</v>
      </c>
      <c r="M343" s="25">
        <f t="shared" si="164"/>
        <v>856.05</v>
      </c>
      <c r="N343" s="25">
        <f t="shared" si="164"/>
        <v>856.05</v>
      </c>
      <c r="Q343" s="2" t="s">
        <v>22</v>
      </c>
      <c r="R343" s="2">
        <v>0</v>
      </c>
      <c r="S343" s="19">
        <v>369.38</v>
      </c>
      <c r="T343" s="19"/>
      <c r="U343" s="19">
        <v>178.45</v>
      </c>
      <c r="V343" s="19">
        <f>U343</f>
        <v>178.45</v>
      </c>
      <c r="W343" s="2">
        <v>0</v>
      </c>
      <c r="X343" s="19">
        <v>536.42999999999995</v>
      </c>
      <c r="Y343" s="19">
        <v>213.95</v>
      </c>
      <c r="Z343" s="19">
        <v>213.95</v>
      </c>
      <c r="AA343" s="19">
        <f t="shared" ref="AA343:AA344" si="165">Z343</f>
        <v>213.95</v>
      </c>
    </row>
    <row r="344" spans="2:27" s="2" customFormat="1" ht="12.9" customHeight="1">
      <c r="B344" s="22" t="s">
        <v>93</v>
      </c>
      <c r="C344" s="16">
        <f t="shared" si="162"/>
        <v>53.39</v>
      </c>
      <c r="E344" s="22" t="s">
        <v>93</v>
      </c>
      <c r="F344" s="23">
        <f t="shared" ref="F344:N344" si="166">+F56</f>
        <v>43.54</v>
      </c>
      <c r="G344" s="23">
        <f t="shared" si="166"/>
        <v>43.54</v>
      </c>
      <c r="H344" s="23">
        <f t="shared" si="166"/>
        <v>43.54</v>
      </c>
      <c r="I344" s="23">
        <f t="shared" si="166"/>
        <v>53.39</v>
      </c>
      <c r="J344" s="23">
        <f t="shared" si="166"/>
        <v>53.39</v>
      </c>
      <c r="K344" s="23">
        <f t="shared" si="166"/>
        <v>53.39</v>
      </c>
      <c r="L344" s="23">
        <f t="shared" si="166"/>
        <v>53.39</v>
      </c>
      <c r="M344" s="23">
        <f t="shared" si="166"/>
        <v>53.39</v>
      </c>
      <c r="N344" s="23">
        <f t="shared" si="166"/>
        <v>53.39</v>
      </c>
      <c r="Q344" s="2" t="s">
        <v>131</v>
      </c>
      <c r="R344" s="2">
        <v>0</v>
      </c>
      <c r="S344" s="19">
        <v>273.11</v>
      </c>
      <c r="T344" s="19"/>
      <c r="U344" s="19">
        <v>131.12</v>
      </c>
      <c r="V344" s="19">
        <f>U344</f>
        <v>131.12</v>
      </c>
      <c r="W344" s="2">
        <v>0</v>
      </c>
      <c r="X344" s="19">
        <v>485.6</v>
      </c>
      <c r="Y344" s="19">
        <v>184.36</v>
      </c>
      <c r="Z344" s="19">
        <v>184.36</v>
      </c>
      <c r="AA344" s="19">
        <f t="shared" si="165"/>
        <v>184.36</v>
      </c>
    </row>
    <row r="345" spans="2:27" s="2" customFormat="1" ht="12.9" customHeight="1">
      <c r="B345" s="22" t="s">
        <v>95</v>
      </c>
      <c r="C345" s="16">
        <f t="shared" si="162"/>
        <v>32.96</v>
      </c>
      <c r="E345" s="22" t="s">
        <v>95</v>
      </c>
      <c r="F345" s="25">
        <f t="shared" ref="F345:N345" si="167">+F57</f>
        <v>31.74</v>
      </c>
      <c r="G345" s="25">
        <f t="shared" si="167"/>
        <v>31.74</v>
      </c>
      <c r="H345" s="25">
        <f t="shared" si="167"/>
        <v>31.74</v>
      </c>
      <c r="I345" s="25">
        <f t="shared" si="167"/>
        <v>32.96</v>
      </c>
      <c r="J345" s="25">
        <f t="shared" si="167"/>
        <v>32.96</v>
      </c>
      <c r="K345" s="25">
        <f t="shared" si="167"/>
        <v>32.96</v>
      </c>
      <c r="L345" s="25">
        <f t="shared" si="167"/>
        <v>32.96</v>
      </c>
      <c r="M345" s="25">
        <f t="shared" si="167"/>
        <v>32.96</v>
      </c>
      <c r="N345" s="25">
        <f t="shared" si="167"/>
        <v>32.96</v>
      </c>
      <c r="Q345" s="2" t="s">
        <v>133</v>
      </c>
      <c r="R345" s="2">
        <v>0</v>
      </c>
      <c r="S345" s="19">
        <v>166.59</v>
      </c>
      <c r="T345" s="26"/>
      <c r="U345" s="26"/>
      <c r="V345" s="19">
        <v>102.22</v>
      </c>
      <c r="W345" s="2">
        <v>0</v>
      </c>
      <c r="X345" s="26"/>
      <c r="Y345" s="26"/>
      <c r="Z345" s="19">
        <f>Z344</f>
        <v>184.36</v>
      </c>
      <c r="AA345" s="19"/>
    </row>
    <row r="346" spans="2:27" s="2" customFormat="1" ht="12.9" customHeight="1">
      <c r="B346" s="22" t="s">
        <v>46</v>
      </c>
      <c r="C346" s="16">
        <f t="shared" si="162"/>
        <v>729.14</v>
      </c>
      <c r="E346" s="22" t="s">
        <v>46</v>
      </c>
      <c r="F346" s="23">
        <f t="shared" ref="F346:N346" si="168">+F58</f>
        <v>592.11</v>
      </c>
      <c r="G346" s="23">
        <f t="shared" si="168"/>
        <v>729.14</v>
      </c>
      <c r="H346" s="23">
        <f t="shared" si="168"/>
        <v>729.14</v>
      </c>
      <c r="I346" s="23">
        <f t="shared" si="168"/>
        <v>729.14</v>
      </c>
      <c r="J346" s="23">
        <f t="shared" si="168"/>
        <v>729.14</v>
      </c>
      <c r="K346" s="23">
        <f t="shared" si="168"/>
        <v>729.14</v>
      </c>
      <c r="L346" s="23">
        <f t="shared" si="168"/>
        <v>729.14</v>
      </c>
      <c r="M346" s="55">
        <f t="shared" si="168"/>
        <v>873.38</v>
      </c>
      <c r="N346" s="55">
        <f t="shared" si="168"/>
        <v>873.38</v>
      </c>
      <c r="Q346" s="2" t="s">
        <v>134</v>
      </c>
      <c r="R346" s="2">
        <v>0</v>
      </c>
      <c r="S346" s="19">
        <v>71.959999999999994</v>
      </c>
      <c r="T346" s="26"/>
      <c r="U346" s="26"/>
      <c r="V346" s="26"/>
      <c r="W346" s="2">
        <v>0</v>
      </c>
      <c r="X346" s="26"/>
      <c r="Y346" s="26"/>
      <c r="Z346" s="19"/>
      <c r="AA346" s="26"/>
    </row>
    <row r="347" spans="2:27" s="2" customFormat="1" ht="12.9" customHeight="1">
      <c r="B347" s="22" t="s">
        <v>48</v>
      </c>
      <c r="C347" s="16">
        <f t="shared" si="162"/>
        <v>520.73</v>
      </c>
      <c r="E347" s="22" t="s">
        <v>48</v>
      </c>
      <c r="F347" s="27">
        <v>520.73</v>
      </c>
      <c r="G347" s="23">
        <f t="shared" ref="G347:L347" si="169">+F347</f>
        <v>520.73</v>
      </c>
      <c r="H347" s="23">
        <f t="shared" si="169"/>
        <v>520.73</v>
      </c>
      <c r="I347" s="23">
        <f t="shared" si="169"/>
        <v>520.73</v>
      </c>
      <c r="J347" s="23">
        <f t="shared" si="169"/>
        <v>520.73</v>
      </c>
      <c r="K347" s="23">
        <f t="shared" si="169"/>
        <v>520.73</v>
      </c>
      <c r="L347" s="23">
        <f t="shared" si="169"/>
        <v>520.73</v>
      </c>
      <c r="M347" s="27">
        <v>578.76</v>
      </c>
      <c r="N347" s="27">
        <v>611.29999999999995</v>
      </c>
      <c r="O347" s="2" t="s">
        <v>149</v>
      </c>
    </row>
    <row r="348" spans="2:27" s="2" customFormat="1" ht="12.9" customHeight="1">
      <c r="B348" s="29" t="s">
        <v>49</v>
      </c>
      <c r="C348" s="16">
        <f t="shared" si="162"/>
        <v>181.99</v>
      </c>
      <c r="E348" s="29" t="s">
        <v>49</v>
      </c>
      <c r="F348" s="27">
        <v>181.99</v>
      </c>
      <c r="G348" s="23">
        <f>+F348</f>
        <v>181.99</v>
      </c>
      <c r="H348" s="23">
        <f>+G348</f>
        <v>181.99</v>
      </c>
      <c r="I348" s="23">
        <f>+H348</f>
        <v>181.99</v>
      </c>
      <c r="J348" s="23">
        <f>+I348</f>
        <v>181.99</v>
      </c>
      <c r="K348" s="23">
        <f t="shared" ref="K348:M348" si="170">+J348</f>
        <v>181.99</v>
      </c>
      <c r="L348" s="23">
        <f t="shared" si="170"/>
        <v>181.99</v>
      </c>
      <c r="M348" s="23">
        <f t="shared" si="170"/>
        <v>181.99</v>
      </c>
      <c r="N348" s="27">
        <v>923.07</v>
      </c>
      <c r="O348" s="19" t="s">
        <v>226</v>
      </c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26"/>
      <c r="AA348" s="19">
        <v>572.22</v>
      </c>
    </row>
    <row r="349" spans="2:27" s="2" customFormat="1" ht="12.9" customHeight="1">
      <c r="B349" s="29" t="s">
        <v>98</v>
      </c>
      <c r="C349" s="16">
        <f t="shared" si="162"/>
        <v>0</v>
      </c>
      <c r="E349" s="29" t="s">
        <v>98</v>
      </c>
      <c r="F349" s="23"/>
      <c r="G349" s="23"/>
      <c r="H349" s="23"/>
      <c r="I349" s="23"/>
      <c r="J349" s="23">
        <f>+I349</f>
        <v>0</v>
      </c>
      <c r="K349" s="23">
        <f t="shared" ref="K349:N355" si="171">+J349</f>
        <v>0</v>
      </c>
      <c r="L349" s="23">
        <f t="shared" si="171"/>
        <v>0</v>
      </c>
      <c r="M349" s="23">
        <f t="shared" si="171"/>
        <v>0</v>
      </c>
      <c r="N349" s="23">
        <f t="shared" si="171"/>
        <v>0</v>
      </c>
    </row>
    <row r="350" spans="2:27" s="2" customFormat="1" ht="12.9" customHeight="1">
      <c r="B350" s="29" t="s">
        <v>52</v>
      </c>
      <c r="C350" s="16">
        <f t="shared" si="162"/>
        <v>63.89</v>
      </c>
      <c r="E350" s="29" t="s">
        <v>52</v>
      </c>
      <c r="F350" s="27">
        <v>63.89</v>
      </c>
      <c r="G350" s="23">
        <f t="shared" ref="G350:I354" si="172">+F350</f>
        <v>63.89</v>
      </c>
      <c r="H350" s="23">
        <f t="shared" si="172"/>
        <v>63.89</v>
      </c>
      <c r="I350" s="23">
        <f t="shared" si="172"/>
        <v>63.89</v>
      </c>
      <c r="J350" s="23">
        <f t="shared" ref="J350:J355" si="173">+I350</f>
        <v>63.89</v>
      </c>
      <c r="K350" s="23">
        <f t="shared" si="171"/>
        <v>63.89</v>
      </c>
      <c r="L350" s="23">
        <f t="shared" si="171"/>
        <v>63.89</v>
      </c>
      <c r="M350" s="23">
        <f t="shared" si="171"/>
        <v>63.89</v>
      </c>
      <c r="N350" s="23">
        <f t="shared" si="171"/>
        <v>63.89</v>
      </c>
    </row>
    <row r="351" spans="2:27" s="2" customFormat="1" ht="12.9" customHeight="1">
      <c r="B351" s="29" t="s">
        <v>54</v>
      </c>
      <c r="C351" s="16">
        <f t="shared" si="162"/>
        <v>80.58</v>
      </c>
      <c r="E351" s="29" t="s">
        <v>54</v>
      </c>
      <c r="F351" s="27">
        <v>80.58</v>
      </c>
      <c r="G351" s="23">
        <f t="shared" si="172"/>
        <v>80.58</v>
      </c>
      <c r="H351" s="23">
        <f t="shared" si="172"/>
        <v>80.58</v>
      </c>
      <c r="I351" s="23">
        <f t="shared" si="172"/>
        <v>80.58</v>
      </c>
      <c r="J351" s="23">
        <f t="shared" si="173"/>
        <v>80.58</v>
      </c>
      <c r="K351" s="23">
        <f t="shared" si="171"/>
        <v>80.58</v>
      </c>
      <c r="L351" s="23">
        <f t="shared" si="171"/>
        <v>80.58</v>
      </c>
      <c r="M351" s="23">
        <f t="shared" si="171"/>
        <v>80.58</v>
      </c>
      <c r="N351" s="23">
        <f t="shared" si="171"/>
        <v>80.58</v>
      </c>
    </row>
    <row r="352" spans="2:27" s="2" customFormat="1" ht="12.9" customHeight="1">
      <c r="B352" s="29" t="s">
        <v>56</v>
      </c>
      <c r="C352" s="16">
        <f t="shared" si="162"/>
        <v>107.36</v>
      </c>
      <c r="E352" s="29" t="s">
        <v>56</v>
      </c>
      <c r="F352" s="27">
        <v>107.36</v>
      </c>
      <c r="G352" s="23">
        <f t="shared" si="172"/>
        <v>107.36</v>
      </c>
      <c r="H352" s="23">
        <f t="shared" si="172"/>
        <v>107.36</v>
      </c>
      <c r="I352" s="23">
        <f t="shared" si="172"/>
        <v>107.36</v>
      </c>
      <c r="J352" s="23">
        <f t="shared" si="173"/>
        <v>107.36</v>
      </c>
      <c r="K352" s="23">
        <f t="shared" si="171"/>
        <v>107.36</v>
      </c>
      <c r="L352" s="23">
        <f t="shared" si="171"/>
        <v>107.36</v>
      </c>
      <c r="M352" s="23">
        <f t="shared" si="171"/>
        <v>107.36</v>
      </c>
      <c r="N352" s="23">
        <f t="shared" si="171"/>
        <v>107.36</v>
      </c>
    </row>
    <row r="353" spans="2:15" s="2" customFormat="1" ht="12.9" customHeight="1">
      <c r="B353" s="29" t="s">
        <v>58</v>
      </c>
      <c r="C353" s="16">
        <f t="shared" si="162"/>
        <v>146.9</v>
      </c>
      <c r="E353" s="29" t="s">
        <v>58</v>
      </c>
      <c r="F353" s="27">
        <v>146.9</v>
      </c>
      <c r="G353" s="23">
        <f t="shared" si="172"/>
        <v>146.9</v>
      </c>
      <c r="H353" s="23">
        <f t="shared" si="172"/>
        <v>146.9</v>
      </c>
      <c r="I353" s="23">
        <f t="shared" si="172"/>
        <v>146.9</v>
      </c>
      <c r="J353" s="23">
        <f t="shared" si="173"/>
        <v>146.9</v>
      </c>
      <c r="K353" s="23">
        <f t="shared" si="171"/>
        <v>146.9</v>
      </c>
      <c r="L353" s="23">
        <f t="shared" si="171"/>
        <v>146.9</v>
      </c>
      <c r="M353" s="23">
        <f t="shared" si="171"/>
        <v>146.9</v>
      </c>
      <c r="N353" s="23">
        <f t="shared" si="171"/>
        <v>146.9</v>
      </c>
    </row>
    <row r="354" spans="2:15" s="2" customFormat="1" ht="12.9" customHeight="1">
      <c r="B354" s="29" t="s">
        <v>60</v>
      </c>
      <c r="C354" s="16">
        <f t="shared" si="162"/>
        <v>43.29</v>
      </c>
      <c r="E354" s="29" t="s">
        <v>60</v>
      </c>
      <c r="F354" s="27">
        <v>43.29</v>
      </c>
      <c r="G354" s="23">
        <f t="shared" si="172"/>
        <v>43.29</v>
      </c>
      <c r="H354" s="23">
        <f t="shared" si="172"/>
        <v>43.29</v>
      </c>
      <c r="I354" s="23">
        <f t="shared" si="172"/>
        <v>43.29</v>
      </c>
      <c r="J354" s="23">
        <f t="shared" si="173"/>
        <v>43.29</v>
      </c>
      <c r="K354" s="23">
        <f t="shared" si="171"/>
        <v>43.29</v>
      </c>
      <c r="L354" s="23">
        <f t="shared" si="171"/>
        <v>43.29</v>
      </c>
      <c r="M354" s="23">
        <f t="shared" si="171"/>
        <v>43.29</v>
      </c>
      <c r="N354" s="23">
        <f t="shared" si="171"/>
        <v>43.29</v>
      </c>
    </row>
    <row r="355" spans="2:15" s="2" customFormat="1" ht="12.9" customHeight="1">
      <c r="B355" s="29" t="s">
        <v>103</v>
      </c>
      <c r="C355" s="16">
        <f t="shared" si="162"/>
        <v>47.72</v>
      </c>
      <c r="E355" s="29" t="s">
        <v>103</v>
      </c>
      <c r="F355" s="32"/>
      <c r="G355" s="23"/>
      <c r="H355" s="23"/>
      <c r="I355" s="27">
        <v>47.72</v>
      </c>
      <c r="J355" s="23">
        <f t="shared" si="173"/>
        <v>47.72</v>
      </c>
      <c r="K355" s="23">
        <f t="shared" si="171"/>
        <v>47.72</v>
      </c>
      <c r="L355" s="23">
        <f t="shared" si="171"/>
        <v>47.72</v>
      </c>
      <c r="M355" s="23">
        <f t="shared" si="171"/>
        <v>47.72</v>
      </c>
      <c r="N355" s="23"/>
      <c r="O355" s="47" t="s">
        <v>227</v>
      </c>
    </row>
    <row r="356" spans="2:15" s="2" customFormat="1" ht="12.9" customHeight="1">
      <c r="B356" s="29" t="s">
        <v>19</v>
      </c>
      <c r="C356" s="16">
        <f t="shared" si="162"/>
        <v>213.95</v>
      </c>
      <c r="E356" s="29" t="s">
        <v>19</v>
      </c>
      <c r="F356" s="30">
        <f>IF($C$1=F339,'Nómina mensual'!$L$29,0)</f>
        <v>0</v>
      </c>
      <c r="G356" s="30">
        <f>IF($C$1=G339,'Nómina mensual'!$L$29,0)</f>
        <v>0</v>
      </c>
      <c r="H356" s="30">
        <f>IF($C$1=H339,'Nómina mensual'!$L$29,0)</f>
        <v>0</v>
      </c>
      <c r="I356" s="30">
        <f>IF($C$1=I339,'Nómina mensual'!$L$29,0)</f>
        <v>213.95</v>
      </c>
      <c r="J356" s="30">
        <f>IF($C$1=J339,'Nómina mensual'!$L$29,0)</f>
        <v>0</v>
      </c>
      <c r="K356" s="30">
        <f>IF($C$1=K339,'Nómina mensual'!$L$29,0)</f>
        <v>0</v>
      </c>
      <c r="L356" s="30">
        <f>IF($C$1=L339,'Nómina mensual'!$L$29,0)</f>
        <v>0</v>
      </c>
      <c r="M356" s="30">
        <f>IF($C$1=M339,'Nómina mensual'!$L$29,0)</f>
        <v>0</v>
      </c>
      <c r="N356" s="23"/>
    </row>
    <row r="357" spans="2:15" s="2" customFormat="1" ht="12.9" customHeight="1">
      <c r="B357" s="31" t="s">
        <v>104</v>
      </c>
      <c r="C357" s="16">
        <f t="shared" si="162"/>
        <v>0</v>
      </c>
      <c r="E357" s="31" t="s">
        <v>104</v>
      </c>
      <c r="F357" s="23"/>
      <c r="G357" s="23"/>
      <c r="H357" s="23"/>
      <c r="I357" s="23"/>
      <c r="J357" s="23"/>
      <c r="K357" s="23"/>
      <c r="L357" s="23"/>
      <c r="M357" s="23"/>
      <c r="N357" s="23"/>
    </row>
    <row r="358" spans="2:15" s="2" customFormat="1" ht="12.9" customHeight="1">
      <c r="B358" s="31" t="s">
        <v>106</v>
      </c>
      <c r="C358" s="16">
        <f t="shared" si="162"/>
        <v>0</v>
      </c>
      <c r="E358" s="31" t="s">
        <v>106</v>
      </c>
      <c r="F358" s="23"/>
      <c r="G358" s="23"/>
      <c r="H358" s="23"/>
      <c r="I358" s="23"/>
      <c r="J358" s="23"/>
      <c r="K358" s="23"/>
      <c r="L358" s="23"/>
      <c r="M358" s="23"/>
      <c r="N358" s="23"/>
    </row>
    <row r="359" spans="2:15" s="2" customFormat="1" ht="12.9" customHeight="1">
      <c r="B359" s="31" t="s">
        <v>108</v>
      </c>
      <c r="C359" s="16">
        <f t="shared" si="162"/>
        <v>0</v>
      </c>
      <c r="E359" s="31" t="s">
        <v>108</v>
      </c>
      <c r="F359" s="23"/>
      <c r="G359" s="23"/>
      <c r="H359" s="23"/>
      <c r="I359" s="23"/>
      <c r="J359" s="23"/>
      <c r="K359" s="23"/>
      <c r="L359" s="23"/>
      <c r="M359" s="23"/>
      <c r="N359" s="23"/>
    </row>
    <row r="360" spans="2:15" s="2" customFormat="1" ht="12.9" customHeight="1">
      <c r="B360" s="33" t="s">
        <v>109</v>
      </c>
      <c r="C360" s="16">
        <f t="shared" si="162"/>
        <v>0</v>
      </c>
      <c r="E360" s="33" t="s">
        <v>109</v>
      </c>
      <c r="F360" s="25">
        <f>G346-F346</f>
        <v>137.03</v>
      </c>
      <c r="G360" s="23"/>
      <c r="H360" s="23"/>
      <c r="I360" s="23"/>
      <c r="J360" s="23"/>
      <c r="K360" s="23"/>
      <c r="L360" s="23"/>
      <c r="M360" s="23"/>
      <c r="N360" s="23"/>
    </row>
    <row r="361" spans="2:15" s="2" customFormat="1" ht="12.9" customHeight="1">
      <c r="B361" s="34" t="s">
        <v>141</v>
      </c>
      <c r="C361" s="16">
        <f t="shared" si="162"/>
        <v>0</v>
      </c>
      <c r="E361" s="34" t="s">
        <v>141</v>
      </c>
      <c r="F361" s="48"/>
      <c r="G361" s="23">
        <f>+F361</f>
        <v>0</v>
      </c>
      <c r="H361" s="23">
        <f t="shared" ref="H361:N361" si="174">+G361</f>
        <v>0</v>
      </c>
      <c r="I361" s="23">
        <f t="shared" si="174"/>
        <v>0</v>
      </c>
      <c r="J361" s="23">
        <f t="shared" si="174"/>
        <v>0</v>
      </c>
      <c r="K361" s="23">
        <f t="shared" si="174"/>
        <v>0</v>
      </c>
      <c r="L361" s="23">
        <f t="shared" si="174"/>
        <v>0</v>
      </c>
      <c r="M361" s="23">
        <f t="shared" si="174"/>
        <v>0</v>
      </c>
      <c r="N361" s="23">
        <f t="shared" si="174"/>
        <v>0</v>
      </c>
    </row>
    <row r="362" spans="2:15" s="2" customFormat="1" ht="12.9" customHeight="1">
      <c r="B362" s="34" t="s">
        <v>113</v>
      </c>
      <c r="C362" s="16">
        <f t="shared" si="162"/>
        <v>0</v>
      </c>
      <c r="E362" s="34" t="s">
        <v>113</v>
      </c>
      <c r="F362" s="23"/>
      <c r="G362" s="23"/>
      <c r="H362" s="23"/>
      <c r="I362" s="23"/>
      <c r="J362" s="23"/>
      <c r="K362" s="23"/>
      <c r="L362" s="23"/>
      <c r="M362" s="23"/>
      <c r="N362" s="23"/>
    </row>
    <row r="363" spans="2:15" s="2" customFormat="1" ht="12.9" customHeight="1">
      <c r="B363" s="34" t="s">
        <v>115</v>
      </c>
      <c r="C363" s="16">
        <f t="shared" si="162"/>
        <v>0</v>
      </c>
      <c r="E363" s="34" t="s">
        <v>115</v>
      </c>
      <c r="F363" s="23"/>
      <c r="G363" s="23"/>
      <c r="H363" s="23"/>
      <c r="I363" s="23"/>
      <c r="J363" s="23"/>
      <c r="K363" s="23"/>
      <c r="L363" s="23"/>
      <c r="M363" s="23"/>
      <c r="N363" s="23"/>
    </row>
    <row r="364" spans="2:15" s="2" customFormat="1" ht="12.9" customHeight="1">
      <c r="B364" s="35" t="s">
        <v>117</v>
      </c>
      <c r="C364" s="16">
        <f t="shared" si="162"/>
        <v>0</v>
      </c>
      <c r="E364" s="35" t="s">
        <v>117</v>
      </c>
      <c r="F364" s="23"/>
      <c r="G364" s="23"/>
      <c r="H364" s="23"/>
      <c r="I364" s="23"/>
      <c r="J364" s="23"/>
      <c r="K364" s="23"/>
      <c r="L364" s="23"/>
      <c r="M364" s="23"/>
      <c r="N364" s="23"/>
    </row>
    <row r="365" spans="2:15" s="2" customFormat="1" ht="12.9" customHeight="1">
      <c r="B365" s="39" t="s">
        <v>119</v>
      </c>
      <c r="C365" s="16">
        <f t="shared" si="162"/>
        <v>-51.68</v>
      </c>
      <c r="E365" s="39" t="s">
        <v>119</v>
      </c>
      <c r="F365" s="50">
        <f>+F77</f>
        <v>-40.68</v>
      </c>
      <c r="G365" s="50">
        <f t="shared" ref="G365:N365" si="175">+G77</f>
        <v>-40.68</v>
      </c>
      <c r="H365" s="50">
        <f t="shared" si="175"/>
        <v>-40.68</v>
      </c>
      <c r="I365" s="50">
        <f t="shared" si="175"/>
        <v>-51.68</v>
      </c>
      <c r="J365" s="50">
        <f t="shared" si="175"/>
        <v>-51.68</v>
      </c>
      <c r="K365" s="50">
        <f t="shared" si="175"/>
        <v>-51.68</v>
      </c>
      <c r="L365" s="50">
        <f t="shared" si="175"/>
        <v>-51.68</v>
      </c>
      <c r="M365" s="50">
        <f t="shared" si="175"/>
        <v>-51.68</v>
      </c>
      <c r="N365" s="50">
        <f t="shared" si="175"/>
        <v>-51.68</v>
      </c>
    </row>
    <row r="366" spans="2:15" s="2" customFormat="1" ht="12.9" customHeight="1">
      <c r="B366" s="39" t="s">
        <v>121</v>
      </c>
      <c r="C366" s="16">
        <f t="shared" si="162"/>
        <v>118.04</v>
      </c>
      <c r="E366" s="39" t="s">
        <v>121</v>
      </c>
      <c r="F366" s="50">
        <f>+F78</f>
        <v>-92.9</v>
      </c>
      <c r="G366" s="50">
        <f t="shared" ref="G366:N366" si="176">+G78</f>
        <v>-92.9</v>
      </c>
      <c r="H366" s="50">
        <f t="shared" si="176"/>
        <v>-92.9</v>
      </c>
      <c r="I366" s="50">
        <f t="shared" si="176"/>
        <v>118.04</v>
      </c>
      <c r="J366" s="50">
        <f t="shared" si="176"/>
        <v>118.04</v>
      </c>
      <c r="K366" s="50">
        <f t="shared" si="176"/>
        <v>118.04</v>
      </c>
      <c r="L366" s="50">
        <f t="shared" si="176"/>
        <v>118.04</v>
      </c>
      <c r="M366" s="50">
        <f t="shared" si="176"/>
        <v>118.04</v>
      </c>
      <c r="N366" s="50">
        <f t="shared" si="176"/>
        <v>118.04</v>
      </c>
    </row>
    <row r="367" spans="2:15">
      <c r="B367" s="41" t="s">
        <v>80</v>
      </c>
      <c r="C367" s="16">
        <f t="shared" si="162"/>
        <v>42106.920000000006</v>
      </c>
      <c r="E367" s="42" t="s">
        <v>80</v>
      </c>
      <c r="F367" s="3">
        <f>((+F342+F346+F347+F348)*12)+(F344*INT($C$3/3)*12)+((F343+F346)*2)+((F347+F348)*2)+(F356*14)+(F345*INT($C$3/3)*2)+(IF($C$4="s",F360,0))+(((IF(INT($C$3/3)&lt;6,F349,0))+(IF(AND(INT($C$3/6)&gt;0,INT($C$3/6)&lt;2),F350,0))+(IF(AND(INT($C$3/6)&gt;1,INT($C$3/6)&lt;3),F350+F351,0))+(IF(AND(INT($C$3/6)&gt;2,INT($C$3/6)&lt;4),F350+F351+F352,0))+(IF(AND(INT($C$3/6)&gt;3,INT($C$3/6)&lt;5),F350+F351+F352+F353,0))+(IF(INT($C$3/6)&gt;4,F350+F351+F352+F353+F354,0)))*12)+(IF($C$7="s",F355*12,0))++(((IF(INT($C$3/3)&lt;6,F349,0))+(IF(AND(INT($C$3/6)&gt;0,INT($C$3/6)&lt;2),F350,0))+(IF(AND(INT($C$3/6)&gt;1,INT($C$3/6)&lt;3),F350+F351,0))+(IF(AND(INT($C$3/6)&gt;2,INT($C$3/6)&lt;4),F350+F351+F352,0))+(IF(AND(INT($C$3/6)&gt;3,INT($C$3/6)&lt;5),F350+F351+F352+F353,0))+(IF(INT($C$3/6)&gt;4,F350+F351+F352+F353+F354,0)))*2)+(F361*12)+(F362*2)</f>
        <v>34857.48000000001</v>
      </c>
      <c r="G367" s="3">
        <f t="shared" ref="G367:I367" si="177">((+G342+G346+G347+G348)*12)+(G344*INT($C$3/3)*12)+((G343+G346)*2)+((G347+G348)*2)+(G356*14)+(G345*INT($C$3/3)*2)+(IF($C$4="s",G360,0))+(((IF(INT($C$3/3)&lt;6,G349,0))+(IF(AND(INT($C$3/6)&gt;0,INT($C$3/6)&lt;2),G350,0))+(IF(AND(INT($C$3/6)&gt;1,INT($C$3/6)&lt;3),G350+G351,0))+(IF(AND(INT($C$3/6)&gt;2,INT($C$3/6)&lt;4),G350+G351+G352,0))+(IF(AND(INT($C$3/6)&gt;3,INT($C$3/6)&lt;5),G350+G351+G352+G353,0))+(IF(INT($C$3/6)&gt;4,G350+G351+G352+G353+G354,0)))*12)+(IF($C$7="s",G355*12,0))++(((IF(INT($C$3/3)&lt;6,G349,0))+(IF(AND(INT($C$3/6)&gt;0,INT($C$3/6)&lt;2),G350,0))+(IF(AND(INT($C$3/6)&gt;1,INT($C$3/6)&lt;3),G350+G351,0))+(IF(AND(INT($C$3/6)&gt;2,INT($C$3/6)&lt;4),G350+G351+G352,0))+(IF(AND(INT($C$3/6)&gt;3,INT($C$3/6)&lt;5),G350+G351+G352+G353,0))+(IF(INT($C$3/6)&gt;4,G350+G351+G352+G353+G354,0)))*2)+(G361*12)+(G362*2)</f>
        <v>36775.900000000009</v>
      </c>
      <c r="H367" s="3">
        <f t="shared" si="177"/>
        <v>36775.900000000009</v>
      </c>
      <c r="I367" s="3">
        <f t="shared" si="177"/>
        <v>42106.920000000006</v>
      </c>
      <c r="J367" s="3">
        <f t="shared" ref="J367:N367" si="178">((+J342+J346+J347+J348)*12)+(J344*INT($C$3/3)*12)+((J343+J346)*2)+((J347+J348)*2)+(J356*14)+(J345*INT($C$3/3)*2)+(IF($C$4="s",J360,0))+(((IF(INT($C$3/3)&lt;6,J349,0))+(IF(AND(INT($C$3/6)&gt;0,INT($C$3/6)&lt;2),J350,0))+(IF(AND(INT($C$3/6)&gt;1,INT($C$3/6)&lt;3),J350+J351,0))+(IF(AND(INT($C$3/6)&gt;2,INT($C$3/6)&lt;4),J350+J351+J352,0))+(IF(AND(INT($C$3/6)&gt;3,INT($C$3/6)&lt;5),J350+J351+J352+J353,0))+(IF(INT($C$3/6)&gt;4,J350+J351+J352+J353+J354,0)))*12)+(IF($C$7="s",J355*12,0))++(((IF(INT($C$3/3)&lt;6,J349,0))+(IF(AND(INT($C$3/6)&gt;0,INT($C$3/6)&lt;2),J350,0))+(IF(AND(INT($C$3/6)&gt;1,INT($C$3/6)&lt;3),J350+J351,0))+(IF(AND(INT($C$3/6)&gt;2,INT($C$3/6)&lt;4),J350+J351+J352,0))+(IF(AND(INT($C$3/6)&gt;3,INT($C$3/6)&lt;5),J350+J351+J352+J353,0))+(IF(INT($C$3/6)&gt;4,J350+J351+J352+J353+J354,0)))*2)+(J361*12)+(J362*2)</f>
        <v>39111.620000000003</v>
      </c>
      <c r="K367" s="3">
        <f t="shared" si="178"/>
        <v>39111.620000000003</v>
      </c>
      <c r="L367" s="3">
        <f t="shared" si="178"/>
        <v>39111.620000000003</v>
      </c>
      <c r="M367" s="3">
        <f t="shared" si="178"/>
        <v>41943.4</v>
      </c>
      <c r="N367" s="3">
        <f t="shared" si="178"/>
        <v>52774.080000000002</v>
      </c>
    </row>
    <row r="374" spans="2:27" s="2" customFormat="1" ht="12.9" customHeight="1">
      <c r="B374" s="9"/>
      <c r="C374" s="2" t="str">
        <f>+E375</f>
        <v>Galicia</v>
      </c>
    </row>
    <row r="375" spans="2:27" s="2" customFormat="1" ht="35.25" customHeight="1">
      <c r="C375" s="10" t="str">
        <f>+$C$11</f>
        <v>590-Profesores Enseñanza Secundaria</v>
      </c>
      <c r="E375" s="11" t="s">
        <v>35</v>
      </c>
      <c r="F375" s="12" t="s">
        <v>120</v>
      </c>
      <c r="G375" s="12" t="s">
        <v>110</v>
      </c>
      <c r="H375" s="12" t="s">
        <v>118</v>
      </c>
      <c r="I375" s="12" t="s">
        <v>4</v>
      </c>
      <c r="J375" s="12" t="s">
        <v>112</v>
      </c>
      <c r="K375" s="12" t="s">
        <v>114</v>
      </c>
      <c r="L375" s="12" t="s">
        <v>116</v>
      </c>
      <c r="M375" s="12" t="s">
        <v>107</v>
      </c>
      <c r="N375" s="12" t="s">
        <v>105</v>
      </c>
      <c r="O375" s="13" t="s">
        <v>228</v>
      </c>
    </row>
    <row r="376" spans="2:27" s="2" customFormat="1" ht="12.9" customHeight="1">
      <c r="B376" s="44" t="s">
        <v>91</v>
      </c>
      <c r="C376" s="16" t="str">
        <f t="shared" ref="C376:C403" si="179">IF($C$11=$F$11,F376,IF($C$11=G$11,G376,IF($C$11=H$11,H376,IF($C$11=I$11,I376,IF($C$11=J$11,J376,IF($C$11=K$11,K376,IF($C$11=L$11,L376,IF($C$11=M$11,M376,N376))))))))</f>
        <v>A1</v>
      </c>
      <c r="E376" s="45" t="s">
        <v>91</v>
      </c>
      <c r="F376" s="17" t="s">
        <v>137</v>
      </c>
      <c r="G376" s="17" t="s">
        <v>137</v>
      </c>
      <c r="H376" s="17" t="s">
        <v>137</v>
      </c>
      <c r="I376" s="17" t="s">
        <v>138</v>
      </c>
      <c r="J376" s="17" t="s">
        <v>138</v>
      </c>
      <c r="K376" s="17" t="s">
        <v>138</v>
      </c>
      <c r="L376" s="17" t="s">
        <v>138</v>
      </c>
      <c r="M376" s="17" t="s">
        <v>138</v>
      </c>
      <c r="N376" s="17" t="s">
        <v>138</v>
      </c>
      <c r="O376" s="87" t="s">
        <v>229</v>
      </c>
      <c r="Q376" s="14" t="s">
        <v>137</v>
      </c>
      <c r="R376" s="14"/>
      <c r="S376" s="13"/>
      <c r="T376" s="13"/>
      <c r="U376" s="13"/>
      <c r="V376" s="13"/>
      <c r="W376" s="43" t="s">
        <v>138</v>
      </c>
      <c r="X376" s="13"/>
      <c r="Y376" s="13"/>
    </row>
    <row r="377" spans="2:27" s="2" customFormat="1" ht="12.9" customHeight="1">
      <c r="B377" s="44" t="str">
        <f>+E377</f>
        <v>Nivel</v>
      </c>
      <c r="C377" s="16">
        <f t="shared" si="179"/>
        <v>24</v>
      </c>
      <c r="E377" s="45" t="s">
        <v>144</v>
      </c>
      <c r="F377" s="17">
        <v>21</v>
      </c>
      <c r="G377" s="17">
        <v>24</v>
      </c>
      <c r="H377" s="17">
        <v>24</v>
      </c>
      <c r="I377" s="17">
        <v>24</v>
      </c>
      <c r="J377" s="17">
        <v>24</v>
      </c>
      <c r="K377" s="17">
        <v>24</v>
      </c>
      <c r="L377" s="17">
        <v>24</v>
      </c>
      <c r="M377" s="17">
        <v>26</v>
      </c>
      <c r="N377" s="17">
        <v>26</v>
      </c>
      <c r="O377" s="87" t="s">
        <v>230</v>
      </c>
      <c r="R377" s="2" t="s">
        <v>20</v>
      </c>
      <c r="S377" s="2" t="s">
        <v>123</v>
      </c>
      <c r="T377" s="2" t="s">
        <v>126</v>
      </c>
      <c r="U377" s="2" t="s">
        <v>129</v>
      </c>
      <c r="V377" s="2" t="s">
        <v>130</v>
      </c>
      <c r="W377" s="2" t="s">
        <v>20</v>
      </c>
      <c r="X377" s="2" t="s">
        <v>123</v>
      </c>
      <c r="Y377" s="2" t="s">
        <v>126</v>
      </c>
      <c r="Z377" s="2" t="s">
        <v>129</v>
      </c>
      <c r="AA377" s="2" t="s">
        <v>130</v>
      </c>
    </row>
    <row r="378" spans="2:27" s="2" customFormat="1" ht="12.9" customHeight="1">
      <c r="B378" s="22" t="s">
        <v>43</v>
      </c>
      <c r="C378" s="16">
        <f t="shared" si="179"/>
        <v>1387.24</v>
      </c>
      <c r="E378" s="22" t="s">
        <v>43</v>
      </c>
      <c r="F378" s="23">
        <f t="shared" ref="F378:I381" si="180">+F342</f>
        <v>1199.52</v>
      </c>
      <c r="G378" s="23">
        <f t="shared" si="180"/>
        <v>1199.52</v>
      </c>
      <c r="H378" s="23">
        <f t="shared" si="180"/>
        <v>1199.52</v>
      </c>
      <c r="I378" s="23">
        <f t="shared" si="180"/>
        <v>1387.24</v>
      </c>
      <c r="J378" s="23">
        <f t="shared" ref="J378:N381" si="181">+I378</f>
        <v>1387.24</v>
      </c>
      <c r="K378" s="23">
        <f t="shared" si="181"/>
        <v>1387.24</v>
      </c>
      <c r="L378" s="23">
        <f t="shared" si="181"/>
        <v>1387.24</v>
      </c>
      <c r="M378" s="23">
        <f t="shared" si="181"/>
        <v>1387.24</v>
      </c>
      <c r="N378" s="23">
        <f t="shared" si="181"/>
        <v>1387.24</v>
      </c>
      <c r="O378" s="2" t="s">
        <v>231</v>
      </c>
      <c r="Q378" s="2" t="s">
        <v>124</v>
      </c>
      <c r="R378" s="2">
        <v>0</v>
      </c>
      <c r="S378" s="19">
        <v>711.93</v>
      </c>
      <c r="U378" s="19">
        <v>287.57</v>
      </c>
      <c r="V378" s="43">
        <f>U378</f>
        <v>287.57</v>
      </c>
      <c r="W378" s="2">
        <v>0</v>
      </c>
      <c r="X378" s="19">
        <v>855.23</v>
      </c>
      <c r="Y378" s="19">
        <v>410.45</v>
      </c>
      <c r="Z378" s="43">
        <f>Y378</f>
        <v>410.45</v>
      </c>
      <c r="AA378" s="43">
        <f>Y378</f>
        <v>410.45</v>
      </c>
    </row>
    <row r="379" spans="2:27" s="2" customFormat="1" ht="12.9" customHeight="1">
      <c r="B379" s="22" t="s">
        <v>92</v>
      </c>
      <c r="C379" s="16">
        <f t="shared" si="179"/>
        <v>856.05</v>
      </c>
      <c r="E379" s="22" t="s">
        <v>92</v>
      </c>
      <c r="F379" s="25">
        <f t="shared" si="180"/>
        <v>874.83</v>
      </c>
      <c r="G379" s="25">
        <f t="shared" si="180"/>
        <v>874.83</v>
      </c>
      <c r="H379" s="25">
        <f t="shared" si="180"/>
        <v>874.83</v>
      </c>
      <c r="I379" s="25">
        <f t="shared" si="180"/>
        <v>856.05</v>
      </c>
      <c r="J379" s="23">
        <f t="shared" si="181"/>
        <v>856.05</v>
      </c>
      <c r="K379" s="23">
        <f t="shared" si="181"/>
        <v>856.05</v>
      </c>
      <c r="L379" s="23">
        <f t="shared" si="181"/>
        <v>856.05</v>
      </c>
      <c r="M379" s="23">
        <f t="shared" si="181"/>
        <v>856.05</v>
      </c>
      <c r="N379" s="23">
        <f t="shared" si="181"/>
        <v>856.05</v>
      </c>
      <c r="Q379" s="2" t="s">
        <v>127</v>
      </c>
      <c r="R379" s="2">
        <v>0</v>
      </c>
      <c r="S379" s="19">
        <v>650.24</v>
      </c>
      <c r="U379" s="19">
        <v>273.89</v>
      </c>
      <c r="V379" s="43">
        <f>U379</f>
        <v>273.89</v>
      </c>
      <c r="W379" s="2">
        <v>0</v>
      </c>
      <c r="X379" s="19">
        <v>745.13</v>
      </c>
      <c r="Y379" s="19">
        <v>403.68</v>
      </c>
      <c r="Z379" s="43">
        <f t="shared" ref="Z379:Z381" si="182">Y379</f>
        <v>403.68</v>
      </c>
      <c r="AA379" s="43">
        <f t="shared" ref="AA379:AA381" si="183">Y379</f>
        <v>403.68</v>
      </c>
    </row>
    <row r="380" spans="2:27" s="2" customFormat="1" ht="12.9" customHeight="1">
      <c r="B380" s="22" t="s">
        <v>93</v>
      </c>
      <c r="C380" s="16">
        <f t="shared" si="179"/>
        <v>53.39</v>
      </c>
      <c r="E380" s="22" t="s">
        <v>93</v>
      </c>
      <c r="F380" s="23">
        <f t="shared" si="180"/>
        <v>43.54</v>
      </c>
      <c r="G380" s="23">
        <f t="shared" si="180"/>
        <v>43.54</v>
      </c>
      <c r="H380" s="23">
        <f t="shared" si="180"/>
        <v>43.54</v>
      </c>
      <c r="I380" s="23">
        <f t="shared" si="180"/>
        <v>53.39</v>
      </c>
      <c r="J380" s="23">
        <f t="shared" si="181"/>
        <v>53.39</v>
      </c>
      <c r="K380" s="23">
        <f t="shared" si="181"/>
        <v>53.39</v>
      </c>
      <c r="L380" s="23">
        <f t="shared" si="181"/>
        <v>53.39</v>
      </c>
      <c r="M380" s="23">
        <f t="shared" si="181"/>
        <v>53.39</v>
      </c>
      <c r="N380" s="23">
        <f t="shared" si="181"/>
        <v>53.39</v>
      </c>
      <c r="Q380" s="2" t="s">
        <v>22</v>
      </c>
      <c r="R380" s="2">
        <v>0</v>
      </c>
      <c r="S380" s="19">
        <v>487.48</v>
      </c>
      <c r="U380" s="19">
        <v>267.07</v>
      </c>
      <c r="V380" s="43">
        <f>U380</f>
        <v>267.07</v>
      </c>
      <c r="W380" s="2">
        <v>0</v>
      </c>
      <c r="X380" s="19">
        <v>680.31</v>
      </c>
      <c r="Y380" s="19">
        <v>308.04000000000002</v>
      </c>
      <c r="Z380" s="43">
        <f t="shared" si="182"/>
        <v>308.04000000000002</v>
      </c>
      <c r="AA380" s="43">
        <f t="shared" si="183"/>
        <v>308.04000000000002</v>
      </c>
    </row>
    <row r="381" spans="2:27" s="2" customFormat="1" ht="12.9" customHeight="1">
      <c r="B381" s="22" t="s">
        <v>95</v>
      </c>
      <c r="C381" s="16">
        <f t="shared" si="179"/>
        <v>32.96</v>
      </c>
      <c r="E381" s="22" t="s">
        <v>95</v>
      </c>
      <c r="F381" s="25">
        <f t="shared" si="180"/>
        <v>31.74</v>
      </c>
      <c r="G381" s="25">
        <f t="shared" si="180"/>
        <v>31.74</v>
      </c>
      <c r="H381" s="25">
        <f t="shared" si="180"/>
        <v>31.74</v>
      </c>
      <c r="I381" s="25">
        <f t="shared" si="180"/>
        <v>32.96</v>
      </c>
      <c r="J381" s="23">
        <f t="shared" si="181"/>
        <v>32.96</v>
      </c>
      <c r="K381" s="23">
        <f t="shared" si="181"/>
        <v>32.96</v>
      </c>
      <c r="L381" s="23">
        <f t="shared" si="181"/>
        <v>32.96</v>
      </c>
      <c r="M381" s="23">
        <f t="shared" si="181"/>
        <v>32.96</v>
      </c>
      <c r="N381" s="23">
        <f t="shared" si="181"/>
        <v>32.96</v>
      </c>
      <c r="Q381" s="2" t="s">
        <v>131</v>
      </c>
      <c r="R381" s="2">
        <v>0</v>
      </c>
      <c r="S381" s="19">
        <v>376.36</v>
      </c>
      <c r="U381" s="19">
        <v>212.45</v>
      </c>
      <c r="V381" s="43">
        <f>U381</f>
        <v>212.45</v>
      </c>
      <c r="W381" s="2">
        <v>0</v>
      </c>
      <c r="X381" s="19">
        <v>621.66</v>
      </c>
      <c r="Y381" s="19">
        <v>273.89</v>
      </c>
      <c r="Z381" s="43">
        <f t="shared" si="182"/>
        <v>273.89</v>
      </c>
      <c r="AA381" s="43">
        <f t="shared" si="183"/>
        <v>273.89</v>
      </c>
    </row>
    <row r="382" spans="2:27" s="2" customFormat="1" ht="12.9" customHeight="1">
      <c r="B382" s="22" t="s">
        <v>46</v>
      </c>
      <c r="C382" s="16">
        <f t="shared" si="179"/>
        <v>729.14</v>
      </c>
      <c r="E382" s="22" t="s">
        <v>46</v>
      </c>
      <c r="F382" s="86">
        <f t="shared" ref="F382:N382" si="184">+F58</f>
        <v>592.11</v>
      </c>
      <c r="G382" s="30">
        <f t="shared" si="184"/>
        <v>729.14</v>
      </c>
      <c r="H382" s="23">
        <f t="shared" si="184"/>
        <v>729.14</v>
      </c>
      <c r="I382" s="23">
        <f t="shared" si="184"/>
        <v>729.14</v>
      </c>
      <c r="J382" s="23">
        <f t="shared" si="184"/>
        <v>729.14</v>
      </c>
      <c r="K382" s="23">
        <f t="shared" si="184"/>
        <v>729.14</v>
      </c>
      <c r="L382" s="23">
        <f t="shared" si="184"/>
        <v>729.14</v>
      </c>
      <c r="M382" s="55">
        <f t="shared" si="184"/>
        <v>873.38</v>
      </c>
      <c r="N382" s="55">
        <f t="shared" si="184"/>
        <v>873.38</v>
      </c>
      <c r="Q382" s="2" t="s">
        <v>133</v>
      </c>
      <c r="R382" s="2">
        <v>0</v>
      </c>
      <c r="S382" s="19"/>
      <c r="T382" s="26"/>
      <c r="U382" s="26"/>
      <c r="V382" s="19">
        <v>0</v>
      </c>
      <c r="W382" s="2">
        <v>0</v>
      </c>
      <c r="X382" s="26"/>
      <c r="Y382" s="26"/>
      <c r="Z382" s="43"/>
      <c r="AA382" s="43"/>
    </row>
    <row r="383" spans="2:27" s="2" customFormat="1" ht="12.9" customHeight="1">
      <c r="B383" s="22" t="s">
        <v>48</v>
      </c>
      <c r="C383" s="16">
        <f t="shared" si="179"/>
        <v>779.29</v>
      </c>
      <c r="E383" s="22" t="s">
        <v>48</v>
      </c>
      <c r="F383" s="27">
        <v>779.29</v>
      </c>
      <c r="G383" s="23">
        <f t="shared" ref="G383:L383" si="185">+F383</f>
        <v>779.29</v>
      </c>
      <c r="H383" s="23">
        <f t="shared" si="185"/>
        <v>779.29</v>
      </c>
      <c r="I383" s="23">
        <f t="shared" si="185"/>
        <v>779.29</v>
      </c>
      <c r="J383" s="23">
        <f t="shared" si="185"/>
        <v>779.29</v>
      </c>
      <c r="K383" s="23">
        <f t="shared" si="185"/>
        <v>779.29</v>
      </c>
      <c r="L383" s="23">
        <f t="shared" si="185"/>
        <v>779.29</v>
      </c>
      <c r="M383" s="27">
        <v>841.81</v>
      </c>
      <c r="N383" s="27">
        <v>911.59</v>
      </c>
      <c r="Q383" s="2" t="s">
        <v>134</v>
      </c>
      <c r="R383" s="2">
        <v>0</v>
      </c>
      <c r="S383" s="19"/>
      <c r="T383" s="26"/>
      <c r="U383" s="26"/>
      <c r="V383" s="26"/>
      <c r="W383" s="2">
        <v>0</v>
      </c>
      <c r="X383" s="26"/>
      <c r="Y383" s="26"/>
      <c r="Z383" s="43"/>
      <c r="AA383" s="43"/>
    </row>
    <row r="384" spans="2:27" s="2" customFormat="1" ht="12.9" customHeight="1">
      <c r="B384" s="29" t="s">
        <v>49</v>
      </c>
      <c r="C384" s="16">
        <f t="shared" si="179"/>
        <v>0</v>
      </c>
      <c r="E384" s="29" t="s">
        <v>49</v>
      </c>
      <c r="F384" s="23"/>
      <c r="G384" s="27">
        <v>158.16</v>
      </c>
      <c r="H384" s="23"/>
      <c r="I384" s="23"/>
      <c r="J384" s="23"/>
      <c r="K384" s="23"/>
      <c r="L384" s="23"/>
      <c r="M384" s="23"/>
      <c r="N384" s="88">
        <v>938.38</v>
      </c>
      <c r="P384" s="2" t="s">
        <v>232</v>
      </c>
      <c r="T384" s="2" t="s">
        <v>233</v>
      </c>
    </row>
    <row r="385" spans="2:14" s="2" customFormat="1" ht="12.9" customHeight="1">
      <c r="B385" s="29" t="s">
        <v>98</v>
      </c>
      <c r="C385" s="16">
        <f t="shared" si="179"/>
        <v>0</v>
      </c>
      <c r="E385" s="29" t="s">
        <v>98</v>
      </c>
      <c r="F385" s="23"/>
      <c r="G385" s="23"/>
      <c r="H385" s="23"/>
      <c r="I385" s="23"/>
      <c r="J385" s="23">
        <f>+I385</f>
        <v>0</v>
      </c>
      <c r="K385" s="23">
        <f>+J385</f>
        <v>0</v>
      </c>
      <c r="L385" s="23">
        <f>+K385</f>
        <v>0</v>
      </c>
      <c r="M385" s="23">
        <f>+L385</f>
        <v>0</v>
      </c>
      <c r="N385" s="23">
        <f>+M385</f>
        <v>0</v>
      </c>
    </row>
    <row r="386" spans="2:14" s="2" customFormat="1" ht="12.9" customHeight="1">
      <c r="B386" s="29" t="s">
        <v>52</v>
      </c>
      <c r="C386" s="16">
        <f t="shared" si="179"/>
        <v>89.63</v>
      </c>
      <c r="E386" s="29" t="s">
        <v>52</v>
      </c>
      <c r="F386" s="27">
        <v>89.63</v>
      </c>
      <c r="G386" s="23">
        <f t="shared" ref="G386:I391" si="186">+F386</f>
        <v>89.63</v>
      </c>
      <c r="H386" s="23">
        <f t="shared" si="186"/>
        <v>89.63</v>
      </c>
      <c r="I386" s="23">
        <f t="shared" si="186"/>
        <v>89.63</v>
      </c>
      <c r="J386" s="23">
        <f t="shared" ref="J386:N391" si="187">+I386</f>
        <v>89.63</v>
      </c>
      <c r="K386" s="23">
        <f t="shared" si="187"/>
        <v>89.63</v>
      </c>
      <c r="L386" s="23">
        <f t="shared" si="187"/>
        <v>89.63</v>
      </c>
      <c r="M386" s="23">
        <f t="shared" si="187"/>
        <v>89.63</v>
      </c>
      <c r="N386" s="23">
        <f t="shared" si="187"/>
        <v>89.63</v>
      </c>
    </row>
    <row r="387" spans="2:14" s="2" customFormat="1" ht="12.9" customHeight="1">
      <c r="B387" s="29" t="s">
        <v>54</v>
      </c>
      <c r="C387" s="16">
        <f t="shared" si="179"/>
        <v>115.23</v>
      </c>
      <c r="E387" s="29" t="s">
        <v>54</v>
      </c>
      <c r="F387" s="27">
        <v>115.23</v>
      </c>
      <c r="G387" s="23">
        <f t="shared" si="186"/>
        <v>115.23</v>
      </c>
      <c r="H387" s="23">
        <f t="shared" si="186"/>
        <v>115.23</v>
      </c>
      <c r="I387" s="23">
        <f t="shared" si="186"/>
        <v>115.23</v>
      </c>
      <c r="J387" s="23">
        <f t="shared" si="187"/>
        <v>115.23</v>
      </c>
      <c r="K387" s="23">
        <f t="shared" si="187"/>
        <v>115.23</v>
      </c>
      <c r="L387" s="23">
        <f t="shared" si="187"/>
        <v>115.23</v>
      </c>
      <c r="M387" s="23">
        <f t="shared" si="187"/>
        <v>115.23</v>
      </c>
      <c r="N387" s="23">
        <f t="shared" si="187"/>
        <v>115.23</v>
      </c>
    </row>
    <row r="388" spans="2:14" s="2" customFormat="1" ht="12.9" customHeight="1">
      <c r="B388" s="29" t="s">
        <v>56</v>
      </c>
      <c r="C388" s="16">
        <f t="shared" si="179"/>
        <v>153.66</v>
      </c>
      <c r="E388" s="29" t="s">
        <v>56</v>
      </c>
      <c r="F388" s="57">
        <v>153.66</v>
      </c>
      <c r="G388" s="55">
        <f t="shared" si="186"/>
        <v>153.66</v>
      </c>
      <c r="H388" s="55">
        <f t="shared" si="186"/>
        <v>153.66</v>
      </c>
      <c r="I388" s="55">
        <f t="shared" si="186"/>
        <v>153.66</v>
      </c>
      <c r="J388" s="55">
        <f t="shared" si="187"/>
        <v>153.66</v>
      </c>
      <c r="K388" s="55">
        <f t="shared" si="187"/>
        <v>153.66</v>
      </c>
      <c r="L388" s="55">
        <f t="shared" si="187"/>
        <v>153.66</v>
      </c>
      <c r="M388" s="55">
        <f t="shared" si="187"/>
        <v>153.66</v>
      </c>
      <c r="N388" s="55">
        <f t="shared" si="187"/>
        <v>153.66</v>
      </c>
    </row>
    <row r="389" spans="2:14" s="2" customFormat="1" ht="12.9" customHeight="1">
      <c r="B389" s="29" t="s">
        <v>58</v>
      </c>
      <c r="C389" s="16">
        <f t="shared" si="179"/>
        <v>217.64</v>
      </c>
      <c r="E389" s="29" t="s">
        <v>58</v>
      </c>
      <c r="F389" s="27">
        <v>217.64</v>
      </c>
      <c r="G389" s="23">
        <f t="shared" si="186"/>
        <v>217.64</v>
      </c>
      <c r="H389" s="23">
        <f t="shared" si="186"/>
        <v>217.64</v>
      </c>
      <c r="I389" s="23">
        <f t="shared" si="186"/>
        <v>217.64</v>
      </c>
      <c r="J389" s="23">
        <f t="shared" si="187"/>
        <v>217.64</v>
      </c>
      <c r="K389" s="23">
        <f t="shared" si="187"/>
        <v>217.64</v>
      </c>
      <c r="L389" s="23">
        <f t="shared" si="187"/>
        <v>217.64</v>
      </c>
      <c r="M389" s="23">
        <f t="shared" si="187"/>
        <v>217.64</v>
      </c>
      <c r="N389" s="23">
        <f t="shared" si="187"/>
        <v>217.64</v>
      </c>
    </row>
    <row r="390" spans="2:14" s="2" customFormat="1" ht="12.9" customHeight="1">
      <c r="B390" s="29" t="s">
        <v>60</v>
      </c>
      <c r="C390" s="16">
        <f t="shared" si="179"/>
        <v>64</v>
      </c>
      <c r="E390" s="29" t="s">
        <v>60</v>
      </c>
      <c r="F390" s="27">
        <v>64</v>
      </c>
      <c r="G390" s="23">
        <f t="shared" si="186"/>
        <v>64</v>
      </c>
      <c r="H390" s="23">
        <f t="shared" si="186"/>
        <v>64</v>
      </c>
      <c r="I390" s="23">
        <f t="shared" si="186"/>
        <v>64</v>
      </c>
      <c r="J390" s="23">
        <f t="shared" si="187"/>
        <v>64</v>
      </c>
      <c r="K390" s="23">
        <f t="shared" si="187"/>
        <v>64</v>
      </c>
      <c r="L390" s="23">
        <f t="shared" si="187"/>
        <v>64</v>
      </c>
      <c r="M390" s="23">
        <f t="shared" si="187"/>
        <v>64</v>
      </c>
      <c r="N390" s="23">
        <f t="shared" si="187"/>
        <v>64</v>
      </c>
    </row>
    <row r="391" spans="2:14" s="2" customFormat="1" ht="12.9" customHeight="1">
      <c r="B391" s="29" t="s">
        <v>103</v>
      </c>
      <c r="C391" s="16">
        <f t="shared" si="179"/>
        <v>66.040000000000006</v>
      </c>
      <c r="E391" s="29" t="s">
        <v>103</v>
      </c>
      <c r="F391" s="27">
        <v>66.040000000000006</v>
      </c>
      <c r="G391" s="23">
        <f t="shared" si="186"/>
        <v>66.040000000000006</v>
      </c>
      <c r="H391" s="23">
        <f t="shared" si="186"/>
        <v>66.040000000000006</v>
      </c>
      <c r="I391" s="23">
        <f t="shared" si="186"/>
        <v>66.040000000000006</v>
      </c>
      <c r="J391" s="23">
        <f t="shared" si="187"/>
        <v>66.040000000000006</v>
      </c>
      <c r="K391" s="23">
        <f t="shared" si="187"/>
        <v>66.040000000000006</v>
      </c>
      <c r="L391" s="23">
        <f t="shared" si="187"/>
        <v>66.040000000000006</v>
      </c>
      <c r="M391" s="23">
        <f t="shared" si="187"/>
        <v>66.040000000000006</v>
      </c>
      <c r="N391" s="23"/>
    </row>
    <row r="392" spans="2:14" s="2" customFormat="1" ht="12.9" customHeight="1">
      <c r="B392" s="29" t="s">
        <v>19</v>
      </c>
      <c r="C392" s="16">
        <f t="shared" si="179"/>
        <v>308.04000000000002</v>
      </c>
      <c r="E392" s="29" t="s">
        <v>19</v>
      </c>
      <c r="F392" s="30">
        <f>IF($C$1=F375,'Nómina mensual'!$M$29,0)</f>
        <v>0</v>
      </c>
      <c r="G392" s="30">
        <f>IF($C$1=G375,'Nómina mensual'!$M$29,0)</f>
        <v>0</v>
      </c>
      <c r="H392" s="30">
        <f>IF($C$1=H375,'Nómina mensual'!$M$29,0)</f>
        <v>0</v>
      </c>
      <c r="I392" s="30">
        <f>IF($C$1=I375,'Nómina mensual'!$M$29,0)</f>
        <v>308.04000000000002</v>
      </c>
      <c r="J392" s="30">
        <f>IF($C$1=J375,'Nómina mensual'!$M$29,0)</f>
        <v>0</v>
      </c>
      <c r="K392" s="30">
        <f>IF($C$1=K375,'Nómina mensual'!$M$29,0)</f>
        <v>0</v>
      </c>
      <c r="L392" s="30">
        <f>IF($C$1=L375,'Nómina mensual'!$M$29,0)</f>
        <v>0</v>
      </c>
      <c r="M392" s="30">
        <f>IF($C$1=M375,'Nómina mensual'!$M$29,0)</f>
        <v>0</v>
      </c>
      <c r="N392" s="23"/>
    </row>
    <row r="393" spans="2:14" s="2" customFormat="1" ht="12.9" customHeight="1">
      <c r="B393" s="31" t="s">
        <v>104</v>
      </c>
      <c r="C393" s="16">
        <f t="shared" si="179"/>
        <v>0</v>
      </c>
      <c r="E393" s="31" t="s">
        <v>104</v>
      </c>
      <c r="F393" s="23"/>
      <c r="G393" s="23"/>
      <c r="H393" s="23"/>
      <c r="I393" s="23"/>
      <c r="J393" s="23"/>
      <c r="K393" s="23"/>
      <c r="L393" s="23"/>
      <c r="M393" s="23"/>
      <c r="N393" s="23"/>
    </row>
    <row r="394" spans="2:14" s="2" customFormat="1" ht="12.9" customHeight="1">
      <c r="B394" s="31" t="s">
        <v>106</v>
      </c>
      <c r="C394" s="16">
        <f t="shared" si="179"/>
        <v>0</v>
      </c>
      <c r="E394" s="31" t="s">
        <v>106</v>
      </c>
      <c r="F394" s="23"/>
      <c r="G394" s="23"/>
      <c r="H394" s="23"/>
      <c r="I394" s="23"/>
      <c r="J394" s="23"/>
      <c r="K394" s="23"/>
      <c r="L394" s="23"/>
      <c r="M394" s="23"/>
      <c r="N394" s="23"/>
    </row>
    <row r="395" spans="2:14" s="2" customFormat="1" ht="12.9" customHeight="1">
      <c r="B395" s="31" t="s">
        <v>108</v>
      </c>
      <c r="C395" s="16">
        <f t="shared" si="179"/>
        <v>0</v>
      </c>
      <c r="E395" s="31" t="s">
        <v>108</v>
      </c>
      <c r="F395" s="23"/>
      <c r="G395" s="23"/>
      <c r="H395" s="23"/>
      <c r="I395" s="23"/>
      <c r="J395" s="23"/>
      <c r="K395" s="23"/>
      <c r="L395" s="23"/>
      <c r="M395" s="23"/>
      <c r="N395" s="23"/>
    </row>
    <row r="396" spans="2:14" s="2" customFormat="1" ht="12.9" customHeight="1">
      <c r="B396" s="33" t="s">
        <v>109</v>
      </c>
      <c r="C396" s="16">
        <f t="shared" si="179"/>
        <v>0</v>
      </c>
      <c r="E396" s="33" t="s">
        <v>109</v>
      </c>
      <c r="F396" s="27">
        <v>118.25</v>
      </c>
      <c r="G396" s="23"/>
      <c r="H396" s="23"/>
      <c r="I396" s="23"/>
      <c r="J396" s="23"/>
      <c r="K396" s="23"/>
      <c r="L396" s="23"/>
      <c r="M396" s="23"/>
      <c r="N396" s="23"/>
    </row>
    <row r="397" spans="2:14" s="2" customFormat="1" ht="12.9" customHeight="1">
      <c r="B397" s="34" t="s">
        <v>141</v>
      </c>
      <c r="C397" s="16">
        <f t="shared" si="179"/>
        <v>0</v>
      </c>
      <c r="E397" s="34" t="s">
        <v>141</v>
      </c>
      <c r="F397" s="23"/>
      <c r="G397" s="23"/>
      <c r="H397" s="23"/>
      <c r="I397" s="23"/>
      <c r="J397" s="23"/>
      <c r="K397" s="23"/>
      <c r="L397" s="23"/>
      <c r="M397" s="23"/>
      <c r="N397" s="23"/>
    </row>
    <row r="398" spans="2:14" s="2" customFormat="1" ht="12.9" customHeight="1">
      <c r="B398" s="34" t="s">
        <v>113</v>
      </c>
      <c r="C398" s="16">
        <f t="shared" si="179"/>
        <v>0</v>
      </c>
      <c r="E398" s="34" t="s">
        <v>113</v>
      </c>
      <c r="F398" s="23"/>
      <c r="G398" s="23"/>
      <c r="H398" s="23"/>
      <c r="I398" s="23"/>
      <c r="J398" s="23"/>
      <c r="K398" s="23"/>
      <c r="L398" s="23"/>
      <c r="M398" s="23"/>
      <c r="N398" s="23"/>
    </row>
    <row r="399" spans="2:14" s="2" customFormat="1" ht="12.9" customHeight="1">
      <c r="B399" s="34" t="s">
        <v>115</v>
      </c>
      <c r="C399" s="16">
        <f t="shared" si="179"/>
        <v>0</v>
      </c>
      <c r="E399" s="34" t="s">
        <v>115</v>
      </c>
      <c r="F399" s="23"/>
      <c r="G399" s="23"/>
      <c r="H399" s="23"/>
      <c r="I399" s="23"/>
      <c r="J399" s="23"/>
      <c r="K399" s="23"/>
      <c r="L399" s="23"/>
      <c r="M399" s="23"/>
      <c r="N399" s="23"/>
    </row>
    <row r="400" spans="2:14" s="2" customFormat="1" ht="12.9" customHeight="1">
      <c r="B400" s="35" t="s">
        <v>117</v>
      </c>
      <c r="C400" s="16">
        <f t="shared" si="179"/>
        <v>0</v>
      </c>
      <c r="E400" s="35" t="s">
        <v>117</v>
      </c>
      <c r="F400" s="23"/>
      <c r="G400" s="23"/>
      <c r="H400" s="23"/>
      <c r="I400" s="23"/>
      <c r="J400" s="23"/>
      <c r="K400" s="23"/>
      <c r="L400" s="23"/>
      <c r="M400" s="23"/>
      <c r="N400" s="23"/>
    </row>
    <row r="401" spans="2:27" s="2" customFormat="1" ht="12.9" customHeight="1">
      <c r="B401" s="39" t="s">
        <v>119</v>
      </c>
      <c r="C401" s="16">
        <f t="shared" si="179"/>
        <v>-51.68</v>
      </c>
      <c r="E401" s="39" t="s">
        <v>119</v>
      </c>
      <c r="F401" s="50">
        <f>+F77</f>
        <v>-40.68</v>
      </c>
      <c r="G401" s="50">
        <f t="shared" ref="G401:N401" si="188">+G77</f>
        <v>-40.68</v>
      </c>
      <c r="H401" s="50">
        <f t="shared" si="188"/>
        <v>-40.68</v>
      </c>
      <c r="I401" s="50">
        <f t="shared" si="188"/>
        <v>-51.68</v>
      </c>
      <c r="J401" s="50">
        <f t="shared" si="188"/>
        <v>-51.68</v>
      </c>
      <c r="K401" s="50">
        <f t="shared" si="188"/>
        <v>-51.68</v>
      </c>
      <c r="L401" s="50">
        <f t="shared" si="188"/>
        <v>-51.68</v>
      </c>
      <c r="M401" s="50">
        <f t="shared" si="188"/>
        <v>-51.68</v>
      </c>
      <c r="N401" s="50">
        <f t="shared" si="188"/>
        <v>-51.68</v>
      </c>
    </row>
    <row r="402" spans="2:27" s="2" customFormat="1" ht="12.9" customHeight="1">
      <c r="B402" s="39" t="s">
        <v>121</v>
      </c>
      <c r="C402" s="16">
        <f t="shared" si="179"/>
        <v>118.04</v>
      </c>
      <c r="E402" s="39" t="s">
        <v>121</v>
      </c>
      <c r="F402" s="50">
        <f>+F78</f>
        <v>-92.9</v>
      </c>
      <c r="G402" s="50">
        <f t="shared" ref="G402:N402" si="189">+G78</f>
        <v>-92.9</v>
      </c>
      <c r="H402" s="50">
        <f t="shared" si="189"/>
        <v>-92.9</v>
      </c>
      <c r="I402" s="50">
        <f t="shared" si="189"/>
        <v>118.04</v>
      </c>
      <c r="J402" s="50">
        <f t="shared" si="189"/>
        <v>118.04</v>
      </c>
      <c r="K402" s="50">
        <f t="shared" si="189"/>
        <v>118.04</v>
      </c>
      <c r="L402" s="50">
        <f t="shared" si="189"/>
        <v>118.04</v>
      </c>
      <c r="M402" s="50">
        <f t="shared" si="189"/>
        <v>118.04</v>
      </c>
      <c r="N402" s="50">
        <f t="shared" si="189"/>
        <v>118.04</v>
      </c>
    </row>
    <row r="403" spans="2:27">
      <c r="B403" s="41" t="s">
        <v>80</v>
      </c>
      <c r="C403" s="16">
        <f t="shared" si="179"/>
        <v>45288.639999999999</v>
      </c>
      <c r="E403" s="42" t="s">
        <v>80</v>
      </c>
      <c r="F403" s="3">
        <f>((+F378+F382+F383+F384)*12)+(F380*INT($C$3/3)*12)+((F379+F382)*2)+((F383+F384)*2)+(F392*14)+(F381*INT($C$3/3)*2)+(IF($C$4="s",F396,0))+(((IF(INT($C$3/3)&lt;6,F385,0))+(IF(AND(INT($C$3/6)&gt;0,INT($C$3/6)&lt;2),F386,0))+(IF(AND(INT($C$3/6)&gt;1,INT($C$3/6)&lt;3),F386+F387,0))+(IF(AND(INT($C$3/6)&gt;2,INT($C$3/6)&lt;4),F386+F387+F388,0))+(IF(AND(INT($C$3/6)&gt;3,INT($C$3/6)&lt;5),F386+F387+F388+F389,0))+(IF(INT($C$3/6)&gt;4,F386+F387+F388+F389+F390,0)))*12)+F391*12+(((IF(INT($C$3/3)&lt;6,F385,0))+(IF(AND(INT($C$3/6)&gt;0,INT($C$3/6)&lt;2),F386,0))+(IF(AND(INT($C$3/6)&gt;1,INT($C$3/6)&lt;3),F386+F387,0))+(IF(AND(INT($C$3/6)&gt;2,INT($C$3/6)&lt;4),F386+F387+F388,0))+(IF(AND(INT($C$3/6)&gt;3,INT($C$3/6)&lt;5),F386+F387+F388+F389,0))+(IF(INT($C$3/6)&gt;4,F386+F387+F388+F389+F390,0)))*2)+(F397*12)+(F398*2)</f>
        <v>36721.94000000001</v>
      </c>
      <c r="G403" s="3">
        <f t="shared" ref="G403:N403" si="190">((+G378+G382+G383+G384)*12)+(G380*INT($C$3/3)*12)+((G379+G382)*2)+((G383+G384)*2)+(G392*14)+(G381*INT($C$3/3)*2)+(IF($C$4="s",G396,0))+(((IF(INT($C$3/3)&lt;6,G385,0))+(IF(AND(INT($C$3/6)&gt;0,INT($C$3/6)&lt;2),G386,0))+(IF(AND(INT($C$3/6)&gt;1,INT($C$3/6)&lt;3),G386+G387,0))+(IF(AND(INT($C$3/6)&gt;2,INT($C$3/6)&lt;4),G386+G387+G388,0))+(IF(AND(INT($C$3/6)&gt;3,INT($C$3/6)&lt;5),G386+G387+G388+G389,0))+(IF(INT($C$3/6)&gt;4,G386+G387+G388+G389+G390,0)))*12)+G391*12+(((IF(INT($C$3/3)&lt;6,G385,0))+(IF(AND(INT($C$3/6)&gt;0,INT($C$3/6)&lt;2),G386,0))+(IF(AND(INT($C$3/6)&gt;1,INT($C$3/6)&lt;3),G386+G387,0))+(IF(AND(INT($C$3/6)&gt;2,INT($C$3/6)&lt;4),G386+G387+G388,0))+(IF(AND(INT($C$3/6)&gt;3,INT($C$3/6)&lt;5),G386+G387+G388+G389,0))+(IF(INT($C$3/6)&gt;4,G386+G387+G388+G389+G390,0)))*2)+(G397*12)+(G398*2)</f>
        <v>40854.600000000006</v>
      </c>
      <c r="H403" s="3">
        <f t="shared" si="190"/>
        <v>38640.360000000008</v>
      </c>
      <c r="I403" s="3">
        <f t="shared" si="190"/>
        <v>45288.639999999999</v>
      </c>
      <c r="J403" s="3">
        <f t="shared" si="190"/>
        <v>40976.080000000002</v>
      </c>
      <c r="K403" s="3">
        <f t="shared" si="190"/>
        <v>40976.080000000002</v>
      </c>
      <c r="L403" s="3">
        <f t="shared" si="190"/>
        <v>40976.080000000002</v>
      </c>
      <c r="M403" s="3">
        <f t="shared" si="190"/>
        <v>43870.720000000001</v>
      </c>
      <c r="N403" s="3">
        <f t="shared" si="190"/>
        <v>57192.480000000003</v>
      </c>
    </row>
    <row r="410" spans="2:27" s="2" customFormat="1" ht="12.9" customHeight="1">
      <c r="B410" s="9"/>
      <c r="C410" s="2" t="str">
        <f>+E411</f>
        <v>La Rioja</v>
      </c>
    </row>
    <row r="411" spans="2:27" s="2" customFormat="1" ht="35.25" customHeight="1">
      <c r="C411" s="10" t="str">
        <f>+$C$11</f>
        <v>590-Profesores Enseñanza Secundaria</v>
      </c>
      <c r="E411" s="11" t="s">
        <v>36</v>
      </c>
      <c r="F411" s="12" t="s">
        <v>120</v>
      </c>
      <c r="G411" s="12" t="s">
        <v>110</v>
      </c>
      <c r="H411" s="12" t="s">
        <v>118</v>
      </c>
      <c r="I411" s="12" t="s">
        <v>4</v>
      </c>
      <c r="J411" s="12" t="s">
        <v>112</v>
      </c>
      <c r="K411" s="12" t="s">
        <v>114</v>
      </c>
      <c r="L411" s="12" t="s">
        <v>116</v>
      </c>
      <c r="M411" s="12" t="s">
        <v>107</v>
      </c>
      <c r="N411" s="12" t="s">
        <v>105</v>
      </c>
      <c r="O411" s="13" t="s">
        <v>234</v>
      </c>
      <c r="Q411" s="14" t="s">
        <v>137</v>
      </c>
      <c r="R411" s="14"/>
      <c r="S411" s="13"/>
      <c r="T411" s="13"/>
      <c r="U411" s="13"/>
      <c r="V411" s="13"/>
      <c r="W411" s="43" t="s">
        <v>138</v>
      </c>
      <c r="X411" s="13"/>
      <c r="Y411" s="13"/>
    </row>
    <row r="412" spans="2:27" s="2" customFormat="1" ht="12.9" customHeight="1">
      <c r="B412" s="44" t="s">
        <v>91</v>
      </c>
      <c r="C412" s="16" t="str">
        <f t="shared" ref="C412:C439" si="191">IF($C$11=$F$11,F412,IF($C$11=G$11,G412,IF($C$11=H$11,H412,IF($C$11=I$11,I412,IF($C$11=J$11,J412,IF($C$11=K$11,K412,IF($C$11=L$11,L412,IF($C$11=M$11,M412,N412))))))))</f>
        <v>A1</v>
      </c>
      <c r="E412" s="45" t="s">
        <v>91</v>
      </c>
      <c r="F412" s="17" t="s">
        <v>137</v>
      </c>
      <c r="G412" s="17" t="s">
        <v>137</v>
      </c>
      <c r="H412" s="17" t="s">
        <v>137</v>
      </c>
      <c r="I412" s="17" t="s">
        <v>138</v>
      </c>
      <c r="J412" s="17" t="s">
        <v>138</v>
      </c>
      <c r="K412" s="17" t="s">
        <v>138</v>
      </c>
      <c r="L412" s="17" t="s">
        <v>138</v>
      </c>
      <c r="M412" s="17" t="s">
        <v>138</v>
      </c>
      <c r="N412" s="17" t="s">
        <v>138</v>
      </c>
      <c r="R412" s="2" t="s">
        <v>20</v>
      </c>
      <c r="S412" s="2" t="s">
        <v>123</v>
      </c>
      <c r="T412" s="2" t="s">
        <v>126</v>
      </c>
      <c r="U412" s="2" t="s">
        <v>129</v>
      </c>
      <c r="V412" s="2" t="s">
        <v>130</v>
      </c>
      <c r="W412" s="2" t="s">
        <v>20</v>
      </c>
      <c r="X412" s="2" t="s">
        <v>123</v>
      </c>
      <c r="Y412" s="2" t="s">
        <v>126</v>
      </c>
      <c r="Z412" s="2" t="s">
        <v>129</v>
      </c>
      <c r="AA412" s="2" t="s">
        <v>130</v>
      </c>
    </row>
    <row r="413" spans="2:27" s="2" customFormat="1" ht="12.9" customHeight="1">
      <c r="B413" s="44" t="str">
        <f>+E413</f>
        <v>Nivel</v>
      </c>
      <c r="C413" s="16">
        <f t="shared" si="191"/>
        <v>24</v>
      </c>
      <c r="E413" s="45" t="s">
        <v>144</v>
      </c>
      <c r="F413" s="17">
        <v>21</v>
      </c>
      <c r="G413" s="17">
        <v>24</v>
      </c>
      <c r="H413" s="17">
        <v>24</v>
      </c>
      <c r="I413" s="17">
        <v>24</v>
      </c>
      <c r="J413" s="17">
        <v>24</v>
      </c>
      <c r="K413" s="17">
        <v>24</v>
      </c>
      <c r="L413" s="17">
        <v>24</v>
      </c>
      <c r="M413" s="17">
        <v>26</v>
      </c>
      <c r="N413" s="17">
        <v>26</v>
      </c>
      <c r="Q413" s="2" t="s">
        <v>124</v>
      </c>
      <c r="R413" s="2">
        <v>0</v>
      </c>
      <c r="S413" s="19">
        <v>662.64</v>
      </c>
      <c r="T413" s="19"/>
      <c r="U413" s="19">
        <v>230.55</v>
      </c>
      <c r="V413" s="59">
        <f>U413</f>
        <v>230.55</v>
      </c>
      <c r="W413" s="2">
        <v>0</v>
      </c>
      <c r="X413" s="19">
        <v>808.65</v>
      </c>
      <c r="Y413" s="19"/>
      <c r="Z413" s="19">
        <v>355.71</v>
      </c>
      <c r="AA413" s="59">
        <f>Z413</f>
        <v>355.71</v>
      </c>
    </row>
    <row r="414" spans="2:27" s="2" customFormat="1" ht="12.9" customHeight="1">
      <c r="B414" s="22" t="s">
        <v>43</v>
      </c>
      <c r="C414" s="16">
        <f t="shared" si="191"/>
        <v>1387.24</v>
      </c>
      <c r="E414" s="22" t="s">
        <v>43</v>
      </c>
      <c r="F414" s="55">
        <f t="shared" ref="F414:I417" si="192">+F378</f>
        <v>1199.52</v>
      </c>
      <c r="G414" s="55">
        <f t="shared" si="192"/>
        <v>1199.52</v>
      </c>
      <c r="H414" s="55">
        <f t="shared" si="192"/>
        <v>1199.52</v>
      </c>
      <c r="I414" s="55">
        <f t="shared" si="192"/>
        <v>1387.24</v>
      </c>
      <c r="J414" s="55">
        <f t="shared" ref="J414:N417" si="193">+I414</f>
        <v>1387.24</v>
      </c>
      <c r="K414" s="55">
        <f t="shared" si="193"/>
        <v>1387.24</v>
      </c>
      <c r="L414" s="55">
        <f t="shared" si="193"/>
        <v>1387.24</v>
      </c>
      <c r="M414" s="55">
        <f t="shared" si="193"/>
        <v>1387.24</v>
      </c>
      <c r="N414" s="55">
        <f t="shared" si="193"/>
        <v>1387.24</v>
      </c>
      <c r="Q414" s="2" t="s">
        <v>127</v>
      </c>
      <c r="R414" s="2">
        <v>0</v>
      </c>
      <c r="S414" s="19">
        <v>599.84</v>
      </c>
      <c r="T414" s="19"/>
      <c r="U414" s="19">
        <v>216.66</v>
      </c>
      <c r="V414" s="59">
        <f t="shared" ref="V414:V417" si="194">U414</f>
        <v>216.66</v>
      </c>
      <c r="W414" s="2">
        <v>0</v>
      </c>
      <c r="X414" s="19">
        <v>696.48</v>
      </c>
      <c r="Y414" s="19"/>
      <c r="Z414" s="19">
        <v>348.79</v>
      </c>
      <c r="AA414" s="59">
        <f t="shared" ref="AA414:AA416" si="195">Z414</f>
        <v>348.79</v>
      </c>
    </row>
    <row r="415" spans="2:27" s="2" customFormat="1" ht="12.9" customHeight="1">
      <c r="B415" s="22" t="s">
        <v>92</v>
      </c>
      <c r="C415" s="16">
        <f t="shared" si="191"/>
        <v>856.05</v>
      </c>
      <c r="E415" s="22" t="s">
        <v>92</v>
      </c>
      <c r="F415" s="89">
        <f t="shared" si="192"/>
        <v>874.83</v>
      </c>
      <c r="G415" s="89">
        <f t="shared" si="192"/>
        <v>874.83</v>
      </c>
      <c r="H415" s="89">
        <f t="shared" si="192"/>
        <v>874.83</v>
      </c>
      <c r="I415" s="89">
        <f t="shared" si="192"/>
        <v>856.05</v>
      </c>
      <c r="J415" s="55">
        <f t="shared" si="193"/>
        <v>856.05</v>
      </c>
      <c r="K415" s="55">
        <f t="shared" si="193"/>
        <v>856.05</v>
      </c>
      <c r="L415" s="55">
        <f t="shared" si="193"/>
        <v>856.05</v>
      </c>
      <c r="M415" s="55">
        <f t="shared" si="193"/>
        <v>856.05</v>
      </c>
      <c r="N415" s="55">
        <f t="shared" si="193"/>
        <v>856.05</v>
      </c>
      <c r="Q415" s="2" t="s">
        <v>22</v>
      </c>
      <c r="R415" s="2">
        <v>0</v>
      </c>
      <c r="S415" s="19">
        <v>434.09</v>
      </c>
      <c r="T415" s="19"/>
      <c r="U415" s="19">
        <v>209.7</v>
      </c>
      <c r="V415" s="59">
        <f t="shared" si="194"/>
        <v>209.7</v>
      </c>
      <c r="W415" s="2">
        <v>0</v>
      </c>
      <c r="X415" s="19">
        <v>630.48</v>
      </c>
      <c r="Y415" s="19"/>
      <c r="Z415" s="19">
        <v>251.4</v>
      </c>
      <c r="AA415" s="59">
        <f t="shared" si="195"/>
        <v>251.4</v>
      </c>
    </row>
    <row r="416" spans="2:27" s="2" customFormat="1" ht="12.9" customHeight="1">
      <c r="B416" s="22" t="s">
        <v>93</v>
      </c>
      <c r="C416" s="16">
        <f t="shared" si="191"/>
        <v>53.39</v>
      </c>
      <c r="E416" s="22" t="s">
        <v>93</v>
      </c>
      <c r="F416" s="55">
        <f t="shared" si="192"/>
        <v>43.54</v>
      </c>
      <c r="G416" s="55">
        <f t="shared" si="192"/>
        <v>43.54</v>
      </c>
      <c r="H416" s="55">
        <f t="shared" si="192"/>
        <v>43.54</v>
      </c>
      <c r="I416" s="55">
        <f t="shared" si="192"/>
        <v>53.39</v>
      </c>
      <c r="J416" s="55">
        <f t="shared" si="193"/>
        <v>53.39</v>
      </c>
      <c r="K416" s="55">
        <f t="shared" si="193"/>
        <v>53.39</v>
      </c>
      <c r="L416" s="55">
        <f t="shared" si="193"/>
        <v>53.39</v>
      </c>
      <c r="M416" s="55">
        <f t="shared" si="193"/>
        <v>53.39</v>
      </c>
      <c r="N416" s="55">
        <f t="shared" si="193"/>
        <v>53.39</v>
      </c>
      <c r="Q416" s="2" t="s">
        <v>131</v>
      </c>
      <c r="R416" s="2">
        <v>0</v>
      </c>
      <c r="S416" s="19">
        <v>320.94</v>
      </c>
      <c r="T416" s="19"/>
      <c r="U416" s="19">
        <v>154.04</v>
      </c>
      <c r="V416" s="59">
        <f t="shared" si="194"/>
        <v>154.04</v>
      </c>
      <c r="W416" s="2">
        <v>0</v>
      </c>
      <c r="X416" s="19">
        <v>570.74</v>
      </c>
      <c r="Y416" s="19"/>
      <c r="Z416" s="19">
        <v>216.66</v>
      </c>
      <c r="AA416" s="59">
        <f t="shared" si="195"/>
        <v>216.66</v>
      </c>
    </row>
    <row r="417" spans="2:27" s="2" customFormat="1" ht="12.9" customHeight="1">
      <c r="B417" s="22" t="s">
        <v>95</v>
      </c>
      <c r="C417" s="16">
        <f t="shared" si="191"/>
        <v>32.96</v>
      </c>
      <c r="E417" s="22" t="s">
        <v>95</v>
      </c>
      <c r="F417" s="89">
        <f t="shared" si="192"/>
        <v>31.74</v>
      </c>
      <c r="G417" s="89">
        <f t="shared" si="192"/>
        <v>31.74</v>
      </c>
      <c r="H417" s="89">
        <f t="shared" si="192"/>
        <v>31.74</v>
      </c>
      <c r="I417" s="89">
        <f t="shared" si="192"/>
        <v>32.96</v>
      </c>
      <c r="J417" s="55">
        <f t="shared" si="193"/>
        <v>32.96</v>
      </c>
      <c r="K417" s="55">
        <f t="shared" si="193"/>
        <v>32.96</v>
      </c>
      <c r="L417" s="55">
        <f t="shared" si="193"/>
        <v>32.96</v>
      </c>
      <c r="M417" s="55">
        <f t="shared" si="193"/>
        <v>32.96</v>
      </c>
      <c r="N417" s="55">
        <f t="shared" si="193"/>
        <v>32.96</v>
      </c>
      <c r="Q417" s="2" t="s">
        <v>133</v>
      </c>
      <c r="R417" s="2">
        <v>0</v>
      </c>
      <c r="S417" s="19">
        <v>195.78</v>
      </c>
      <c r="T417" s="26"/>
      <c r="U417" s="19">
        <v>120.1</v>
      </c>
      <c r="V417" s="59">
        <f t="shared" si="194"/>
        <v>120.1</v>
      </c>
      <c r="W417" s="2">
        <v>0</v>
      </c>
      <c r="X417" s="26"/>
      <c r="Y417" s="26"/>
      <c r="Z417" s="19"/>
      <c r="AA417" s="26"/>
    </row>
    <row r="418" spans="2:27" s="2" customFormat="1" ht="12.9" customHeight="1">
      <c r="B418" s="22" t="s">
        <v>46</v>
      </c>
      <c r="C418" s="16">
        <f t="shared" si="191"/>
        <v>729.14</v>
      </c>
      <c r="E418" s="22" t="s">
        <v>46</v>
      </c>
      <c r="F418" s="55">
        <f>+F382</f>
        <v>592.11</v>
      </c>
      <c r="G418" s="55">
        <f>+G382</f>
        <v>729.14</v>
      </c>
      <c r="H418" s="55">
        <f t="shared" ref="H418:N418" si="196">+H382</f>
        <v>729.14</v>
      </c>
      <c r="I418" s="55">
        <f t="shared" si="196"/>
        <v>729.14</v>
      </c>
      <c r="J418" s="55">
        <f t="shared" si="196"/>
        <v>729.14</v>
      </c>
      <c r="K418" s="55">
        <f t="shared" si="196"/>
        <v>729.14</v>
      </c>
      <c r="L418" s="55">
        <f t="shared" si="196"/>
        <v>729.14</v>
      </c>
      <c r="M418" s="55">
        <f t="shared" si="196"/>
        <v>873.38</v>
      </c>
      <c r="N418" s="55">
        <f t="shared" si="196"/>
        <v>873.38</v>
      </c>
      <c r="Q418" s="2" t="s">
        <v>134</v>
      </c>
      <c r="R418" s="2">
        <v>0</v>
      </c>
      <c r="S418" s="19">
        <v>84.52</v>
      </c>
      <c r="T418" s="26"/>
      <c r="U418" s="26"/>
      <c r="V418" s="26"/>
      <c r="W418" s="2">
        <v>0</v>
      </c>
      <c r="X418" s="26"/>
      <c r="Y418" s="26"/>
      <c r="Z418" s="19"/>
      <c r="AA418" s="26"/>
    </row>
    <row r="419" spans="2:27" s="2" customFormat="1" ht="12.9" customHeight="1">
      <c r="B419" s="22" t="s">
        <v>48</v>
      </c>
      <c r="C419" s="16">
        <f t="shared" si="191"/>
        <v>909.64</v>
      </c>
      <c r="E419" s="22" t="s">
        <v>48</v>
      </c>
      <c r="F419" s="57">
        <v>815.42</v>
      </c>
      <c r="G419" s="57">
        <v>808.54</v>
      </c>
      <c r="H419" s="55">
        <f>+G419</f>
        <v>808.54</v>
      </c>
      <c r="I419" s="57">
        <v>909.64</v>
      </c>
      <c r="J419" s="55">
        <f>+I419</f>
        <v>909.64</v>
      </c>
      <c r="K419" s="55">
        <f>+J419</f>
        <v>909.64</v>
      </c>
      <c r="L419" s="55">
        <f>+K419</f>
        <v>909.64</v>
      </c>
      <c r="M419" s="90">
        <f>L419</f>
        <v>909.64</v>
      </c>
      <c r="N419" s="57">
        <v>1587.19</v>
      </c>
    </row>
    <row r="420" spans="2:27" s="2" customFormat="1" ht="12.9" customHeight="1">
      <c r="B420" s="29" t="s">
        <v>49</v>
      </c>
      <c r="C420" s="16">
        <f t="shared" si="191"/>
        <v>0</v>
      </c>
      <c r="E420" s="29" t="s">
        <v>49</v>
      </c>
      <c r="F420" s="55"/>
      <c r="G420" s="55"/>
      <c r="H420" s="55"/>
      <c r="I420" s="55"/>
      <c r="J420" s="55"/>
      <c r="K420" s="55"/>
      <c r="L420" s="55"/>
      <c r="M420" s="55"/>
      <c r="N420" s="55"/>
    </row>
    <row r="421" spans="2:27" s="2" customFormat="1" ht="12.9" customHeight="1">
      <c r="B421" s="29" t="s">
        <v>98</v>
      </c>
      <c r="C421" s="16">
        <f t="shared" si="191"/>
        <v>0</v>
      </c>
      <c r="E421" s="29" t="s">
        <v>98</v>
      </c>
      <c r="F421" s="55"/>
      <c r="G421" s="55"/>
      <c r="H421" s="55"/>
      <c r="I421" s="55"/>
      <c r="J421" s="55">
        <f>+I421</f>
        <v>0</v>
      </c>
      <c r="K421" s="55">
        <f>+J421</f>
        <v>0</v>
      </c>
      <c r="L421" s="55">
        <f>+K421</f>
        <v>0</v>
      </c>
      <c r="M421" s="55">
        <f>+L421</f>
        <v>0</v>
      </c>
      <c r="N421" s="55">
        <f>+M421</f>
        <v>0</v>
      </c>
      <c r="O421" s="47" t="s">
        <v>235</v>
      </c>
    </row>
    <row r="422" spans="2:27" s="2" customFormat="1" ht="12.9" customHeight="1">
      <c r="B422" s="29" t="s">
        <v>52</v>
      </c>
      <c r="C422" s="16">
        <f t="shared" si="191"/>
        <v>74.3</v>
      </c>
      <c r="E422" s="29" t="s">
        <v>52</v>
      </c>
      <c r="F422" s="57">
        <v>74.3</v>
      </c>
      <c r="G422" s="55">
        <f t="shared" ref="G422:I427" si="197">+F422</f>
        <v>74.3</v>
      </c>
      <c r="H422" s="55">
        <f t="shared" si="197"/>
        <v>74.3</v>
      </c>
      <c r="I422" s="55">
        <f t="shared" si="197"/>
        <v>74.3</v>
      </c>
      <c r="J422" s="55">
        <f t="shared" ref="J422:N427" si="198">+I422</f>
        <v>74.3</v>
      </c>
      <c r="K422" s="55">
        <f t="shared" si="198"/>
        <v>74.3</v>
      </c>
      <c r="L422" s="55">
        <f t="shared" si="198"/>
        <v>74.3</v>
      </c>
      <c r="M422" s="55">
        <f t="shared" si="198"/>
        <v>74.3</v>
      </c>
      <c r="N422" s="55">
        <f t="shared" si="198"/>
        <v>74.3</v>
      </c>
    </row>
    <row r="423" spans="2:27" s="2" customFormat="1" ht="12.9" customHeight="1">
      <c r="B423" s="29" t="s">
        <v>54</v>
      </c>
      <c r="C423" s="16">
        <f t="shared" si="191"/>
        <v>93.73</v>
      </c>
      <c r="E423" s="29" t="s">
        <v>54</v>
      </c>
      <c r="F423" s="57">
        <v>93.73</v>
      </c>
      <c r="G423" s="55">
        <f t="shared" si="197"/>
        <v>93.73</v>
      </c>
      <c r="H423" s="55">
        <f t="shared" si="197"/>
        <v>93.73</v>
      </c>
      <c r="I423" s="55">
        <f t="shared" si="197"/>
        <v>93.73</v>
      </c>
      <c r="J423" s="55">
        <f t="shared" si="198"/>
        <v>93.73</v>
      </c>
      <c r="K423" s="55">
        <f t="shared" si="198"/>
        <v>93.73</v>
      </c>
      <c r="L423" s="55">
        <f t="shared" si="198"/>
        <v>93.73</v>
      </c>
      <c r="M423" s="55">
        <f t="shared" si="198"/>
        <v>93.73</v>
      </c>
      <c r="N423" s="55">
        <f t="shared" si="198"/>
        <v>93.73</v>
      </c>
    </row>
    <row r="424" spans="2:27" s="2" customFormat="1" ht="12.9" customHeight="1">
      <c r="B424" s="29" t="s">
        <v>56</v>
      </c>
      <c r="C424" s="16">
        <f t="shared" si="191"/>
        <v>124.96</v>
      </c>
      <c r="E424" s="29" t="s">
        <v>56</v>
      </c>
      <c r="F424" s="57">
        <v>124.96</v>
      </c>
      <c r="G424" s="55">
        <f t="shared" si="197"/>
        <v>124.96</v>
      </c>
      <c r="H424" s="55">
        <f t="shared" si="197"/>
        <v>124.96</v>
      </c>
      <c r="I424" s="55">
        <f t="shared" si="197"/>
        <v>124.96</v>
      </c>
      <c r="J424" s="55">
        <f t="shared" si="198"/>
        <v>124.96</v>
      </c>
      <c r="K424" s="55">
        <f t="shared" si="198"/>
        <v>124.96</v>
      </c>
      <c r="L424" s="55">
        <f t="shared" si="198"/>
        <v>124.96</v>
      </c>
      <c r="M424" s="55">
        <f t="shared" si="198"/>
        <v>124.96</v>
      </c>
      <c r="N424" s="55">
        <f t="shared" si="198"/>
        <v>124.96</v>
      </c>
    </row>
    <row r="425" spans="2:27" s="2" customFormat="1" ht="12.9" customHeight="1">
      <c r="B425" s="29" t="s">
        <v>58</v>
      </c>
      <c r="C425" s="16">
        <f t="shared" si="191"/>
        <v>171</v>
      </c>
      <c r="E425" s="29" t="s">
        <v>58</v>
      </c>
      <c r="F425" s="57">
        <v>171</v>
      </c>
      <c r="G425" s="55">
        <f t="shared" si="197"/>
        <v>171</v>
      </c>
      <c r="H425" s="55">
        <f t="shared" si="197"/>
        <v>171</v>
      </c>
      <c r="I425" s="55">
        <f t="shared" si="197"/>
        <v>171</v>
      </c>
      <c r="J425" s="55">
        <f t="shared" si="198"/>
        <v>171</v>
      </c>
      <c r="K425" s="55">
        <f t="shared" si="198"/>
        <v>171</v>
      </c>
      <c r="L425" s="55">
        <f t="shared" si="198"/>
        <v>171</v>
      </c>
      <c r="M425" s="55">
        <f t="shared" si="198"/>
        <v>171</v>
      </c>
      <c r="N425" s="55">
        <f t="shared" si="198"/>
        <v>171</v>
      </c>
    </row>
    <row r="426" spans="2:27" s="2" customFormat="1" ht="12.9" customHeight="1">
      <c r="B426" s="29" t="s">
        <v>60</v>
      </c>
      <c r="C426" s="16">
        <f t="shared" si="191"/>
        <v>50.32</v>
      </c>
      <c r="E426" s="29" t="s">
        <v>60</v>
      </c>
      <c r="F426" s="57">
        <v>50.32</v>
      </c>
      <c r="G426" s="55">
        <f t="shared" si="197"/>
        <v>50.32</v>
      </c>
      <c r="H426" s="55">
        <f t="shared" si="197"/>
        <v>50.32</v>
      </c>
      <c r="I426" s="55">
        <f t="shared" si="197"/>
        <v>50.32</v>
      </c>
      <c r="J426" s="55">
        <f t="shared" si="198"/>
        <v>50.32</v>
      </c>
      <c r="K426" s="55">
        <f t="shared" si="198"/>
        <v>50.32</v>
      </c>
      <c r="L426" s="55">
        <f t="shared" si="198"/>
        <v>50.32</v>
      </c>
      <c r="M426" s="55">
        <f t="shared" si="198"/>
        <v>50.32</v>
      </c>
      <c r="N426" s="55">
        <f t="shared" si="198"/>
        <v>50.32</v>
      </c>
    </row>
    <row r="427" spans="2:27" s="2" customFormat="1" ht="12.9" customHeight="1">
      <c r="B427" s="29" t="s">
        <v>103</v>
      </c>
      <c r="C427" s="16">
        <f t="shared" si="191"/>
        <v>0</v>
      </c>
      <c r="E427" s="29" t="s">
        <v>103</v>
      </c>
      <c r="F427" s="91"/>
      <c r="G427" s="55">
        <f t="shared" si="197"/>
        <v>0</v>
      </c>
      <c r="H427" s="55">
        <f t="shared" si="197"/>
        <v>0</v>
      </c>
      <c r="I427" s="55">
        <f t="shared" si="197"/>
        <v>0</v>
      </c>
      <c r="J427" s="55">
        <f t="shared" si="198"/>
        <v>0</v>
      </c>
      <c r="K427" s="55">
        <f t="shared" si="198"/>
        <v>0</v>
      </c>
      <c r="L427" s="55">
        <f t="shared" si="198"/>
        <v>0</v>
      </c>
      <c r="M427" s="55">
        <f t="shared" si="198"/>
        <v>0</v>
      </c>
      <c r="N427" s="55"/>
    </row>
    <row r="428" spans="2:27" s="2" customFormat="1" ht="12.9" customHeight="1">
      <c r="B428" s="29" t="s">
        <v>19</v>
      </c>
      <c r="C428" s="16">
        <f t="shared" si="191"/>
        <v>0</v>
      </c>
      <c r="E428" s="29" t="s">
        <v>19</v>
      </c>
      <c r="F428" s="30">
        <f>IF($C$1=F411,'Nómina mensual'!$N$29,0)</f>
        <v>0</v>
      </c>
      <c r="G428" s="30">
        <f>IF($C$1=G411,'Nómina mensual'!$N$29,0)</f>
        <v>0</v>
      </c>
      <c r="H428" s="30">
        <f>IF($C$1=H411,'Nómina mensual'!$N$29,0)</f>
        <v>0</v>
      </c>
      <c r="I428" s="30">
        <f>IF($C$1=I411,'Nómina mensual'!$N$29,0)</f>
        <v>0</v>
      </c>
      <c r="J428" s="30">
        <f>IF($C$1=J411,'Nómina mensual'!$N$29,0)</f>
        <v>0</v>
      </c>
      <c r="K428" s="30">
        <f>IF($C$1=K411,'Nómina mensual'!$N$29,0)</f>
        <v>0</v>
      </c>
      <c r="L428" s="30">
        <f>IF($C$1=L411,'Nómina mensual'!$N$29,0)</f>
        <v>0</v>
      </c>
      <c r="M428" s="30">
        <f>IF($C$1=M411,'Nómina mensual'!$N$29,0)</f>
        <v>0</v>
      </c>
      <c r="N428" s="55"/>
    </row>
    <row r="429" spans="2:27" s="2" customFormat="1" ht="12.9" customHeight="1">
      <c r="B429" s="31" t="s">
        <v>104</v>
      </c>
      <c r="C429" s="16">
        <f t="shared" si="191"/>
        <v>0</v>
      </c>
      <c r="E429" s="31" t="s">
        <v>104</v>
      </c>
      <c r="F429" s="55"/>
      <c r="G429" s="55"/>
      <c r="H429" s="55"/>
      <c r="I429" s="55"/>
      <c r="J429" s="55"/>
      <c r="K429" s="55"/>
      <c r="L429" s="55"/>
      <c r="M429" s="55"/>
      <c r="N429" s="55"/>
    </row>
    <row r="430" spans="2:27" s="2" customFormat="1" ht="12.9" customHeight="1">
      <c r="B430" s="31" t="s">
        <v>106</v>
      </c>
      <c r="C430" s="16">
        <f t="shared" si="191"/>
        <v>0</v>
      </c>
      <c r="E430" s="31" t="s">
        <v>106</v>
      </c>
      <c r="F430" s="55"/>
      <c r="G430" s="55"/>
      <c r="H430" s="55"/>
      <c r="I430" s="55"/>
      <c r="J430" s="55"/>
      <c r="K430" s="55"/>
      <c r="L430" s="55"/>
      <c r="M430" s="55"/>
      <c r="N430" s="55"/>
    </row>
    <row r="431" spans="2:27" s="2" customFormat="1" ht="12.9" customHeight="1">
      <c r="B431" s="31" t="s">
        <v>108</v>
      </c>
      <c r="C431" s="16">
        <f t="shared" si="191"/>
        <v>0</v>
      </c>
      <c r="E431" s="31" t="s">
        <v>108</v>
      </c>
      <c r="F431" s="55"/>
      <c r="G431" s="55"/>
      <c r="H431" s="55"/>
      <c r="I431" s="55"/>
      <c r="J431" s="55"/>
      <c r="K431" s="55"/>
      <c r="L431" s="55"/>
      <c r="M431" s="55"/>
      <c r="N431" s="55"/>
      <c r="O431" s="47" t="s">
        <v>236</v>
      </c>
    </row>
    <row r="432" spans="2:27" s="2" customFormat="1" ht="12.9" customHeight="1">
      <c r="B432" s="33" t="s">
        <v>109</v>
      </c>
      <c r="C432" s="16">
        <f t="shared" si="191"/>
        <v>0</v>
      </c>
      <c r="E432" s="33" t="s">
        <v>109</v>
      </c>
      <c r="F432" s="57">
        <v>153.71</v>
      </c>
      <c r="G432" s="55"/>
      <c r="H432" s="55"/>
      <c r="I432" s="55"/>
      <c r="J432" s="55"/>
      <c r="K432" s="55"/>
      <c r="L432" s="55"/>
      <c r="M432" s="55"/>
      <c r="N432" s="55"/>
      <c r="O432" s="2" t="s">
        <v>137</v>
      </c>
      <c r="AA432" s="2" t="s">
        <v>138</v>
      </c>
    </row>
    <row r="433" spans="2:32" s="2" customFormat="1" ht="12.9" customHeight="1">
      <c r="B433" s="34" t="s">
        <v>141</v>
      </c>
      <c r="C433" s="16">
        <f t="shared" si="191"/>
        <v>0</v>
      </c>
      <c r="E433" s="34" t="s">
        <v>237</v>
      </c>
      <c r="F433" s="55">
        <f>IF($C$3&gt;11,$O$434/14,IF($C$3&gt;5,$O$433/14,0))</f>
        <v>0</v>
      </c>
      <c r="G433" s="55">
        <f>+F433</f>
        <v>0</v>
      </c>
      <c r="H433" s="55">
        <f>+G433</f>
        <v>0</v>
      </c>
      <c r="I433" s="55">
        <f>IF($C$3&gt;11,$AA$434/14,IF($C$3&gt;5,$AA$433/14,0))</f>
        <v>0</v>
      </c>
      <c r="J433" s="55">
        <f>+I433</f>
        <v>0</v>
      </c>
      <c r="K433" s="55">
        <f t="shared" ref="K433:N433" si="199">+J433</f>
        <v>0</v>
      </c>
      <c r="L433" s="55">
        <f t="shared" si="199"/>
        <v>0</v>
      </c>
      <c r="M433" s="55">
        <f t="shared" si="199"/>
        <v>0</v>
      </c>
      <c r="N433" s="55">
        <f t="shared" si="199"/>
        <v>0</v>
      </c>
      <c r="O433" s="19">
        <v>1127.32</v>
      </c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26"/>
      <c r="AA433" s="19">
        <v>1466.21</v>
      </c>
      <c r="AB433" s="2" t="s">
        <v>238</v>
      </c>
      <c r="AC433" s="2" t="s">
        <v>239</v>
      </c>
    </row>
    <row r="434" spans="2:32" s="2" customFormat="1" ht="12.9" customHeight="1">
      <c r="B434" s="34" t="s">
        <v>113</v>
      </c>
      <c r="C434" s="16">
        <f t="shared" si="191"/>
        <v>0</v>
      </c>
      <c r="E434" s="34" t="s">
        <v>240</v>
      </c>
      <c r="F434" s="55">
        <f>IF(AND($C$3&gt;10,$C$5="SI"),$O$434/14,IF(AND($C$3&lt;4,$C$5="SI"),$O$433/14,0))</f>
        <v>0</v>
      </c>
      <c r="G434" s="55">
        <f>+F434</f>
        <v>0</v>
      </c>
      <c r="H434" s="55">
        <f>+G434</f>
        <v>0</v>
      </c>
      <c r="I434" s="55">
        <f>IF(AND($C$3&gt;10,$C$5="SI"),$AA$434/14,IF(AND($C$3&lt;4,$C$5="SI"),$AA$433/14,0))</f>
        <v>0</v>
      </c>
      <c r="J434" s="55">
        <f>+I434</f>
        <v>0</v>
      </c>
      <c r="K434" s="55">
        <f t="shared" ref="K434" si="200">+J434</f>
        <v>0</v>
      </c>
      <c r="L434" s="55">
        <f t="shared" ref="L434" si="201">+K434</f>
        <v>0</v>
      </c>
      <c r="M434" s="55">
        <f t="shared" ref="M434" si="202">+L434</f>
        <v>0</v>
      </c>
      <c r="N434" s="55">
        <f t="shared" ref="N434" si="203">+M434</f>
        <v>0</v>
      </c>
      <c r="O434" s="19">
        <v>1352.9</v>
      </c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AA434" s="19">
        <v>1127.32</v>
      </c>
      <c r="AB434" s="2" t="s">
        <v>241</v>
      </c>
      <c r="AC434" s="2" t="s">
        <v>242</v>
      </c>
      <c r="AE434" s="2" t="s">
        <v>243</v>
      </c>
    </row>
    <row r="435" spans="2:32" s="2" customFormat="1" ht="12.9" customHeight="1">
      <c r="B435" s="34" t="s">
        <v>115</v>
      </c>
      <c r="C435" s="16">
        <f t="shared" si="191"/>
        <v>0</v>
      </c>
      <c r="E435" s="34" t="s">
        <v>115</v>
      </c>
      <c r="F435" s="55"/>
      <c r="G435" s="55"/>
      <c r="H435" s="55"/>
      <c r="I435" s="55"/>
      <c r="J435" s="55"/>
      <c r="K435" s="55"/>
      <c r="L435" s="55"/>
      <c r="M435" s="55"/>
      <c r="N435" s="55"/>
      <c r="AA435" s="13"/>
      <c r="AB435" s="2" t="s">
        <v>244</v>
      </c>
      <c r="AC435" s="2" t="s">
        <v>245</v>
      </c>
      <c r="AD435" s="2" t="s">
        <v>246</v>
      </c>
      <c r="AE435" s="2" t="s">
        <v>247</v>
      </c>
      <c r="AF435" s="2" t="s">
        <v>248</v>
      </c>
    </row>
    <row r="436" spans="2:32" s="2" customFormat="1" ht="12.9" customHeight="1">
      <c r="B436" s="35" t="s">
        <v>117</v>
      </c>
      <c r="C436" s="16">
        <f t="shared" si="191"/>
        <v>0</v>
      </c>
      <c r="E436" s="35" t="s">
        <v>117</v>
      </c>
      <c r="F436" s="55"/>
      <c r="G436" s="55"/>
      <c r="H436" s="55"/>
      <c r="I436" s="55"/>
      <c r="J436" s="55"/>
      <c r="K436" s="55"/>
      <c r="L436" s="55"/>
      <c r="M436" s="55"/>
      <c r="N436" s="55"/>
      <c r="AB436" s="2" t="s">
        <v>249</v>
      </c>
      <c r="AC436" s="2" t="s">
        <v>250</v>
      </c>
      <c r="AE436" s="2" t="s">
        <v>251</v>
      </c>
    </row>
    <row r="437" spans="2:32" s="2" customFormat="1" ht="12.9" customHeight="1">
      <c r="B437" s="39" t="s">
        <v>119</v>
      </c>
      <c r="C437" s="16">
        <f t="shared" si="191"/>
        <v>-51.68</v>
      </c>
      <c r="E437" s="39" t="s">
        <v>119</v>
      </c>
      <c r="F437" s="55">
        <f>+F77</f>
        <v>-40.68</v>
      </c>
      <c r="G437" s="55">
        <f t="shared" ref="G437:N437" si="204">+G77</f>
        <v>-40.68</v>
      </c>
      <c r="H437" s="55">
        <f t="shared" si="204"/>
        <v>-40.68</v>
      </c>
      <c r="I437" s="55">
        <f t="shared" si="204"/>
        <v>-51.68</v>
      </c>
      <c r="J437" s="55">
        <f t="shared" si="204"/>
        <v>-51.68</v>
      </c>
      <c r="K437" s="55">
        <f t="shared" si="204"/>
        <v>-51.68</v>
      </c>
      <c r="L437" s="55">
        <f t="shared" si="204"/>
        <v>-51.68</v>
      </c>
      <c r="M437" s="55">
        <f t="shared" si="204"/>
        <v>-51.68</v>
      </c>
      <c r="N437" s="55">
        <f t="shared" si="204"/>
        <v>-51.68</v>
      </c>
    </row>
    <row r="438" spans="2:32" s="2" customFormat="1" ht="12.9" customHeight="1">
      <c r="B438" s="39" t="s">
        <v>121</v>
      </c>
      <c r="C438" s="16">
        <f t="shared" si="191"/>
        <v>118.04</v>
      </c>
      <c r="E438" s="39" t="s">
        <v>121</v>
      </c>
      <c r="F438" s="55">
        <f>+F78</f>
        <v>-92.9</v>
      </c>
      <c r="G438" s="55">
        <f t="shared" ref="G438:N438" si="205">+G78</f>
        <v>-92.9</v>
      </c>
      <c r="H438" s="55">
        <f t="shared" si="205"/>
        <v>-92.9</v>
      </c>
      <c r="I438" s="55">
        <f t="shared" si="205"/>
        <v>118.04</v>
      </c>
      <c r="J438" s="55">
        <f t="shared" si="205"/>
        <v>118.04</v>
      </c>
      <c r="K438" s="55">
        <f t="shared" si="205"/>
        <v>118.04</v>
      </c>
      <c r="L438" s="55">
        <f t="shared" si="205"/>
        <v>118.04</v>
      </c>
      <c r="M438" s="55">
        <f t="shared" si="205"/>
        <v>118.04</v>
      </c>
      <c r="N438" s="55">
        <f t="shared" si="205"/>
        <v>118.04</v>
      </c>
    </row>
    <row r="439" spans="2:32">
      <c r="B439" s="41" t="s">
        <v>80</v>
      </c>
      <c r="C439" s="16">
        <f t="shared" si="191"/>
        <v>42008.499999999993</v>
      </c>
      <c r="E439" s="42" t="s">
        <v>80</v>
      </c>
      <c r="F439" s="92">
        <f>((+F414+F418+F419+F420)*12)+(F416*INT($C$3/3)*12)+((F415+F418)*2)+((F419+F420)*2)+(F428*14)+(F417*INT($C$3/3)*2)+(IF($C$4="s",F432,0))+(((IF(INT($C$3/3)&lt;6,F421,0))+(IF(AND(INT($C$3/6)&gt;0,INT($C$3/6)&lt;2),F422,0))+(IF(AND(INT($C$3/6)&gt;1,INT($C$3/6)&lt;3),F422+F423,0))+(IF(AND(INT($C$3/6)&gt;2,INT($C$3/6)&lt;4),F422+F423+F424,0))+(IF(AND(INT($C$3/6)&gt;3,INT($C$3/6)&lt;5),F422+F423+F424+F425,0))+(IF(INT($C$3/6)&gt;4,F422+F423+F424+F425+F426,0)))*12)+(IF($C$7="s",F427*12,0))++(((IF(INT($C$3/3)&lt;6,F421,0))+(IF(AND(INT($C$3/6)&gt;0,INT($C$3/6)&lt;2),F422,0))+(IF(AND(INT($C$3/6)&gt;1,INT($C$3/6)&lt;3),F422+F423,0))+(IF(AND(INT($C$3/6)&gt;2,INT($C$3/6)&lt;4),F422+F423+F424,0))+(IF(AND(INT($C$3/6)&gt;3,INT($C$3/6)&lt;5),F422+F423+F424+F425,0))+(IF(INT($C$3/6)&gt;4,F422+F423+F424+F425+F426,0)))*2)+(F433*14)</f>
        <v>36435.279999999999</v>
      </c>
      <c r="G439" s="92">
        <f t="shared" ref="G439:N439" si="206">((+G414+G418+G419+G420)*12)+(G416*INT($C$3/3)*12)+((G415+G418)*2)+((G419+G420)*2)+(G428*14)+(G417*INT($C$3/3)*2)+(IF($C$4="s",G432,0))+(((IF(INT($C$3/3)&lt;6,G421,0))+(IF(AND(INT($C$3/6)&gt;0,INT($C$3/6)&lt;2),G422,0))+(IF(AND(INT($C$3/6)&gt;1,INT($C$3/6)&lt;3),G422+G423,0))+(IF(AND(INT($C$3/6)&gt;2,INT($C$3/6)&lt;4),G422+G423+G424,0))+(IF(AND(INT($C$3/6)&gt;3,INT($C$3/6)&lt;5),G422+G423+G424+G425,0))+(IF(INT($C$3/6)&gt;4,G422+G423+G424+G425+G426,0)))*12)+(IF($C$7="s",G427*12,0))++(((IF(INT($C$3/3)&lt;6,G421,0))+(IF(AND(INT($C$3/6)&gt;0,INT($C$3/6)&lt;2),G422,0))+(IF(AND(INT($C$3/6)&gt;1,INT($C$3/6)&lt;3),G422+G423,0))+(IF(AND(INT($C$3/6)&gt;2,INT($C$3/6)&lt;4),G422+G423+G424,0))+(IF(AND(INT($C$3/6)&gt;3,INT($C$3/6)&lt;5),G422+G423+G424+G425,0))+(IF(INT($C$3/6)&gt;4,G422+G423+G424+G425+G426,0)))*2)+(G433*14)</f>
        <v>38257.380000000005</v>
      </c>
      <c r="H439" s="92">
        <f t="shared" si="206"/>
        <v>38257.380000000005</v>
      </c>
      <c r="I439" s="92">
        <f t="shared" si="206"/>
        <v>42008.499999999993</v>
      </c>
      <c r="J439" s="92">
        <f t="shared" si="206"/>
        <v>42008.499999999993</v>
      </c>
      <c r="K439" s="92">
        <f t="shared" si="206"/>
        <v>42008.499999999993</v>
      </c>
      <c r="L439" s="92">
        <f t="shared" si="206"/>
        <v>42008.499999999993</v>
      </c>
      <c r="M439" s="92">
        <f t="shared" si="206"/>
        <v>44027.859999999993</v>
      </c>
      <c r="N439" s="92">
        <f t="shared" si="206"/>
        <v>53513.56</v>
      </c>
    </row>
    <row r="446" spans="2:32" s="2" customFormat="1" ht="12.9" customHeight="1">
      <c r="B446" s="9"/>
      <c r="C446" s="2" t="str">
        <f>+E447</f>
        <v>Madrid</v>
      </c>
    </row>
    <row r="447" spans="2:32" s="2" customFormat="1" ht="35.25" customHeight="1">
      <c r="C447" s="10" t="str">
        <f>+$C$11</f>
        <v>590-Profesores Enseñanza Secundaria</v>
      </c>
      <c r="E447" s="11" t="s">
        <v>37</v>
      </c>
      <c r="F447" s="12" t="s">
        <v>120</v>
      </c>
      <c r="G447" s="12" t="s">
        <v>110</v>
      </c>
      <c r="H447" s="12" t="s">
        <v>118</v>
      </c>
      <c r="I447" s="12" t="s">
        <v>4</v>
      </c>
      <c r="J447" s="12" t="s">
        <v>112</v>
      </c>
      <c r="K447" s="12" t="s">
        <v>114</v>
      </c>
      <c r="L447" s="12" t="s">
        <v>116</v>
      </c>
      <c r="M447" s="12" t="s">
        <v>107</v>
      </c>
      <c r="N447" s="12" t="s">
        <v>105</v>
      </c>
      <c r="O447" s="13" t="s">
        <v>252</v>
      </c>
      <c r="P447" s="2" t="s">
        <v>253</v>
      </c>
      <c r="Q447" s="14" t="s">
        <v>137</v>
      </c>
      <c r="R447" s="14"/>
      <c r="S447" s="60"/>
      <c r="T447" s="60"/>
      <c r="U447" s="60"/>
      <c r="V447" s="60"/>
      <c r="W447" s="14" t="s">
        <v>138</v>
      </c>
      <c r="X447" s="60"/>
      <c r="Y447" s="60"/>
      <c r="Z447" s="47"/>
      <c r="AA447" s="47"/>
    </row>
    <row r="448" spans="2:32" s="2" customFormat="1" ht="12.9" customHeight="1">
      <c r="B448" s="44" t="s">
        <v>91</v>
      </c>
      <c r="C448" s="16" t="str">
        <f t="shared" ref="C448:C475" si="207">IF($C$11=$F$11,F448,IF($C$11=G$11,G448,IF($C$11=H$11,H448,IF($C$11=I$11,I448,IF($C$11=J$11,J448,IF($C$11=K$11,K448,IF($C$11=L$11,L448,IF($C$11=M$11,M448,N448))))))))</f>
        <v>A1</v>
      </c>
      <c r="E448" s="45" t="s">
        <v>91</v>
      </c>
      <c r="F448" s="17" t="s">
        <v>137</v>
      </c>
      <c r="G448" s="17" t="s">
        <v>137</v>
      </c>
      <c r="H448" s="17" t="s">
        <v>137</v>
      </c>
      <c r="I448" s="17" t="s">
        <v>138</v>
      </c>
      <c r="J448" s="17" t="s">
        <v>138</v>
      </c>
      <c r="K448" s="17" t="s">
        <v>138</v>
      </c>
      <c r="L448" s="17" t="s">
        <v>138</v>
      </c>
      <c r="M448" s="17" t="s">
        <v>138</v>
      </c>
      <c r="N448" s="17" t="s">
        <v>138</v>
      </c>
      <c r="P448" s="2" t="s">
        <v>254</v>
      </c>
      <c r="Q448" s="47"/>
      <c r="R448" s="47" t="s">
        <v>20</v>
      </c>
      <c r="S448" s="47" t="s">
        <v>123</v>
      </c>
      <c r="T448" s="47" t="s">
        <v>126</v>
      </c>
      <c r="U448" s="47" t="s">
        <v>129</v>
      </c>
      <c r="V448" s="47" t="s">
        <v>130</v>
      </c>
      <c r="W448" s="47" t="s">
        <v>20</v>
      </c>
      <c r="X448" s="47" t="s">
        <v>123</v>
      </c>
      <c r="Y448" s="47" t="s">
        <v>126</v>
      </c>
      <c r="Z448" s="47" t="s">
        <v>129</v>
      </c>
      <c r="AA448" s="47" t="s">
        <v>130</v>
      </c>
      <c r="AB448" s="47" t="s">
        <v>255</v>
      </c>
    </row>
    <row r="449" spans="2:28" s="2" customFormat="1" ht="12.9" customHeight="1">
      <c r="B449" s="44" t="str">
        <f>+E449</f>
        <v>Nivel</v>
      </c>
      <c r="C449" s="16">
        <f t="shared" si="207"/>
        <v>24</v>
      </c>
      <c r="E449" s="45" t="s">
        <v>144</v>
      </c>
      <c r="F449" s="17">
        <v>21</v>
      </c>
      <c r="G449" s="17">
        <v>24</v>
      </c>
      <c r="H449" s="17">
        <v>24</v>
      </c>
      <c r="I449" s="17">
        <v>24</v>
      </c>
      <c r="J449" s="17">
        <v>24</v>
      </c>
      <c r="K449" s="17">
        <v>24</v>
      </c>
      <c r="L449" s="17">
        <v>24</v>
      </c>
      <c r="M449" s="17">
        <v>26</v>
      </c>
      <c r="N449" s="17">
        <v>26</v>
      </c>
      <c r="P449" s="2" t="s">
        <v>256</v>
      </c>
      <c r="Q449" s="47" t="s">
        <v>124</v>
      </c>
      <c r="R449" s="47">
        <v>0</v>
      </c>
      <c r="S449" s="19">
        <f>V459+(W459*U459)</f>
        <v>918.17</v>
      </c>
      <c r="T449" s="58">
        <f>0.54*S449</f>
        <v>495.81180000000001</v>
      </c>
      <c r="U449" s="58">
        <f>T449</f>
        <v>495.81180000000001</v>
      </c>
      <c r="V449" s="58">
        <f>T449</f>
        <v>495.81180000000001</v>
      </c>
      <c r="W449" s="47">
        <v>0</v>
      </c>
      <c r="X449" s="19">
        <f>V461+(U461*W461)</f>
        <v>993.77</v>
      </c>
      <c r="Y449" s="58">
        <f>0.6*X449</f>
        <v>596.26199999999994</v>
      </c>
      <c r="Z449" s="58">
        <f>Y449</f>
        <v>596.26199999999994</v>
      </c>
      <c r="AA449" s="58">
        <f>Y449</f>
        <v>596.26199999999994</v>
      </c>
      <c r="AB449" s="2" t="s">
        <v>257</v>
      </c>
    </row>
    <row r="450" spans="2:28" s="2" customFormat="1" ht="12.9" customHeight="1">
      <c r="B450" s="22" t="s">
        <v>43</v>
      </c>
      <c r="C450" s="16">
        <f t="shared" si="207"/>
        <v>1387.24</v>
      </c>
      <c r="E450" s="22" t="s">
        <v>43</v>
      </c>
      <c r="F450" s="55">
        <f t="shared" ref="F450:I453" si="208">+F414</f>
        <v>1199.52</v>
      </c>
      <c r="G450" s="55">
        <f t="shared" si="208"/>
        <v>1199.52</v>
      </c>
      <c r="H450" s="55">
        <f t="shared" si="208"/>
        <v>1199.52</v>
      </c>
      <c r="I450" s="55">
        <f t="shared" si="208"/>
        <v>1387.24</v>
      </c>
      <c r="J450" s="55">
        <f t="shared" ref="J450:N453" si="209">+I450</f>
        <v>1387.24</v>
      </c>
      <c r="K450" s="55">
        <f t="shared" si="209"/>
        <v>1387.24</v>
      </c>
      <c r="L450" s="55">
        <f t="shared" si="209"/>
        <v>1387.24</v>
      </c>
      <c r="M450" s="55">
        <f t="shared" si="209"/>
        <v>1387.24</v>
      </c>
      <c r="N450" s="55">
        <f t="shared" si="209"/>
        <v>1387.24</v>
      </c>
      <c r="P450" s="2" t="s">
        <v>258</v>
      </c>
      <c r="Q450" s="47" t="s">
        <v>127</v>
      </c>
      <c r="R450" s="47">
        <v>0</v>
      </c>
      <c r="S450" s="19">
        <f>S449</f>
        <v>918.17</v>
      </c>
      <c r="T450" s="58">
        <f t="shared" ref="T450:T453" si="210">0.54*S450</f>
        <v>495.81180000000001</v>
      </c>
      <c r="U450" s="58">
        <f t="shared" ref="U450:U453" si="211">T450</f>
        <v>495.81180000000001</v>
      </c>
      <c r="V450" s="58">
        <f t="shared" ref="V450:V453" si="212">T450</f>
        <v>495.81180000000001</v>
      </c>
      <c r="W450" s="47">
        <v>0</v>
      </c>
      <c r="X450" s="19">
        <f>X449</f>
        <v>993.77</v>
      </c>
      <c r="Y450" s="58">
        <f t="shared" ref="Y450:Y452" si="213">0.6*X450</f>
        <v>596.26199999999994</v>
      </c>
      <c r="Z450" s="58">
        <f t="shared" ref="Z450:Z452" si="214">Y450</f>
        <v>596.26199999999994</v>
      </c>
      <c r="AA450" s="58">
        <f t="shared" ref="AA450:AA452" si="215">Y450</f>
        <v>596.26199999999994</v>
      </c>
      <c r="AB450" s="2" t="s">
        <v>259</v>
      </c>
    </row>
    <row r="451" spans="2:28" s="2" customFormat="1" ht="12.9" customHeight="1">
      <c r="B451" s="22" t="s">
        <v>92</v>
      </c>
      <c r="C451" s="16">
        <f t="shared" si="207"/>
        <v>856.05</v>
      </c>
      <c r="E451" s="22" t="s">
        <v>92</v>
      </c>
      <c r="F451" s="89">
        <f t="shared" si="208"/>
        <v>874.83</v>
      </c>
      <c r="G451" s="89">
        <f t="shared" si="208"/>
        <v>874.83</v>
      </c>
      <c r="H451" s="89">
        <f t="shared" si="208"/>
        <v>874.83</v>
      </c>
      <c r="I451" s="89">
        <f t="shared" si="208"/>
        <v>856.05</v>
      </c>
      <c r="J451" s="55">
        <f t="shared" si="209"/>
        <v>856.05</v>
      </c>
      <c r="K451" s="55">
        <f t="shared" si="209"/>
        <v>856.05</v>
      </c>
      <c r="L451" s="55">
        <f t="shared" si="209"/>
        <v>856.05</v>
      </c>
      <c r="M451" s="55">
        <f t="shared" si="209"/>
        <v>856.05</v>
      </c>
      <c r="N451" s="55">
        <f t="shared" si="209"/>
        <v>856.05</v>
      </c>
      <c r="P451" s="2" t="s">
        <v>260</v>
      </c>
      <c r="Q451" s="47" t="s">
        <v>22</v>
      </c>
      <c r="R451" s="47">
        <v>0</v>
      </c>
      <c r="S451" s="19">
        <f>S449</f>
        <v>918.17</v>
      </c>
      <c r="T451" s="58">
        <f t="shared" si="210"/>
        <v>495.81180000000001</v>
      </c>
      <c r="U451" s="58">
        <f t="shared" si="211"/>
        <v>495.81180000000001</v>
      </c>
      <c r="V451" s="58">
        <f t="shared" si="212"/>
        <v>495.81180000000001</v>
      </c>
      <c r="W451" s="47">
        <v>0</v>
      </c>
      <c r="X451" s="19">
        <f>X449</f>
        <v>993.77</v>
      </c>
      <c r="Y451" s="58">
        <f t="shared" si="213"/>
        <v>596.26199999999994</v>
      </c>
      <c r="Z451" s="58">
        <f t="shared" si="214"/>
        <v>596.26199999999994</v>
      </c>
      <c r="AA451" s="58">
        <f t="shared" si="215"/>
        <v>596.26199999999994</v>
      </c>
    </row>
    <row r="452" spans="2:28" s="2" customFormat="1" ht="12.9" customHeight="1">
      <c r="B452" s="22" t="s">
        <v>93</v>
      </c>
      <c r="C452" s="16">
        <f t="shared" si="207"/>
        <v>53.39</v>
      </c>
      <c r="E452" s="22" t="s">
        <v>93</v>
      </c>
      <c r="F452" s="55">
        <f t="shared" si="208"/>
        <v>43.54</v>
      </c>
      <c r="G452" s="55">
        <f t="shared" si="208"/>
        <v>43.54</v>
      </c>
      <c r="H452" s="55">
        <f t="shared" si="208"/>
        <v>43.54</v>
      </c>
      <c r="I452" s="55">
        <f t="shared" si="208"/>
        <v>53.39</v>
      </c>
      <c r="J452" s="55">
        <f t="shared" si="209"/>
        <v>53.39</v>
      </c>
      <c r="K452" s="55">
        <f t="shared" si="209"/>
        <v>53.39</v>
      </c>
      <c r="L452" s="55">
        <f t="shared" si="209"/>
        <v>53.39</v>
      </c>
      <c r="M452" s="55">
        <f t="shared" si="209"/>
        <v>53.39</v>
      </c>
      <c r="N452" s="55">
        <f t="shared" si="209"/>
        <v>53.39</v>
      </c>
      <c r="P452" s="2" t="s">
        <v>261</v>
      </c>
      <c r="Q452" s="47" t="s">
        <v>131</v>
      </c>
      <c r="R452" s="47">
        <v>0</v>
      </c>
      <c r="S452" s="19">
        <f>S449</f>
        <v>918.17</v>
      </c>
      <c r="T452" s="58">
        <f t="shared" si="210"/>
        <v>495.81180000000001</v>
      </c>
      <c r="U452" s="58">
        <f t="shared" si="211"/>
        <v>495.81180000000001</v>
      </c>
      <c r="V452" s="58">
        <f t="shared" si="212"/>
        <v>495.81180000000001</v>
      </c>
      <c r="W452" s="47">
        <v>0</v>
      </c>
      <c r="X452" s="19">
        <f>X449</f>
        <v>993.77</v>
      </c>
      <c r="Y452" s="58">
        <f t="shared" si="213"/>
        <v>596.26199999999994</v>
      </c>
      <c r="Z452" s="58">
        <f t="shared" si="214"/>
        <v>596.26199999999994</v>
      </c>
      <c r="AA452" s="58">
        <f t="shared" si="215"/>
        <v>596.26199999999994</v>
      </c>
    </row>
    <row r="453" spans="2:28" s="2" customFormat="1" ht="12.9" customHeight="1">
      <c r="B453" s="22" t="s">
        <v>95</v>
      </c>
      <c r="C453" s="16">
        <f t="shared" si="207"/>
        <v>32.96</v>
      </c>
      <c r="E453" s="22" t="s">
        <v>95</v>
      </c>
      <c r="F453" s="89">
        <f t="shared" si="208"/>
        <v>31.74</v>
      </c>
      <c r="G453" s="89">
        <f t="shared" si="208"/>
        <v>31.74</v>
      </c>
      <c r="H453" s="89">
        <f t="shared" si="208"/>
        <v>31.74</v>
      </c>
      <c r="I453" s="89">
        <f t="shared" si="208"/>
        <v>32.96</v>
      </c>
      <c r="J453" s="55">
        <f t="shared" si="209"/>
        <v>32.96</v>
      </c>
      <c r="K453" s="55">
        <f t="shared" si="209"/>
        <v>32.96</v>
      </c>
      <c r="L453" s="55">
        <f t="shared" si="209"/>
        <v>32.96</v>
      </c>
      <c r="M453" s="55">
        <f t="shared" si="209"/>
        <v>32.96</v>
      </c>
      <c r="N453" s="55">
        <f t="shared" si="209"/>
        <v>32.96</v>
      </c>
      <c r="P453" s="2" t="s">
        <v>262</v>
      </c>
      <c r="Q453" s="47" t="s">
        <v>133</v>
      </c>
      <c r="R453" s="47">
        <v>0</v>
      </c>
      <c r="S453" s="19">
        <f>S449</f>
        <v>918.17</v>
      </c>
      <c r="T453" s="58">
        <f t="shared" si="210"/>
        <v>495.81180000000001</v>
      </c>
      <c r="U453" s="58">
        <f t="shared" si="211"/>
        <v>495.81180000000001</v>
      </c>
      <c r="V453" s="58">
        <f t="shared" si="212"/>
        <v>495.81180000000001</v>
      </c>
      <c r="W453" s="47">
        <v>0</v>
      </c>
      <c r="Z453" s="13"/>
    </row>
    <row r="454" spans="2:28" s="2" customFormat="1" ht="12.9" customHeight="1">
      <c r="B454" s="22" t="s">
        <v>46</v>
      </c>
      <c r="C454" s="16">
        <f t="shared" si="207"/>
        <v>729.14</v>
      </c>
      <c r="E454" s="22" t="s">
        <v>46</v>
      </c>
      <c r="F454" s="55">
        <f>+F418</f>
        <v>592.11</v>
      </c>
      <c r="G454" s="55">
        <f>+G418</f>
        <v>729.14</v>
      </c>
      <c r="H454" s="55">
        <f t="shared" ref="H454:N454" si="216">+H418</f>
        <v>729.14</v>
      </c>
      <c r="I454" s="55">
        <f t="shared" si="216"/>
        <v>729.14</v>
      </c>
      <c r="J454" s="55">
        <f t="shared" si="216"/>
        <v>729.14</v>
      </c>
      <c r="K454" s="55">
        <f t="shared" si="216"/>
        <v>729.14</v>
      </c>
      <c r="L454" s="55">
        <f t="shared" si="216"/>
        <v>729.14</v>
      </c>
      <c r="M454" s="55">
        <f t="shared" si="216"/>
        <v>873.38</v>
      </c>
      <c r="N454" s="55">
        <f t="shared" si="216"/>
        <v>873.38</v>
      </c>
      <c r="Q454" s="47" t="s">
        <v>134</v>
      </c>
      <c r="R454" s="47">
        <v>0</v>
      </c>
      <c r="S454" s="13"/>
      <c r="W454" s="47">
        <v>0</v>
      </c>
      <c r="Z454" s="13"/>
    </row>
    <row r="455" spans="2:28" s="2" customFormat="1" ht="12.9" customHeight="1">
      <c r="B455" s="22" t="s">
        <v>48</v>
      </c>
      <c r="C455" s="16">
        <f t="shared" si="207"/>
        <v>798.41</v>
      </c>
      <c r="E455" s="22" t="s">
        <v>48</v>
      </c>
      <c r="F455" s="57">
        <v>781.84</v>
      </c>
      <c r="G455" s="57">
        <v>798.41</v>
      </c>
      <c r="H455" s="55">
        <f>F455</f>
        <v>781.84</v>
      </c>
      <c r="I455" s="55">
        <f>G455</f>
        <v>798.41</v>
      </c>
      <c r="J455" s="55">
        <f t="shared" ref="J455:L455" si="217">+I455</f>
        <v>798.41</v>
      </c>
      <c r="K455" s="55">
        <f t="shared" si="217"/>
        <v>798.41</v>
      </c>
      <c r="L455" s="55">
        <f t="shared" si="217"/>
        <v>798.41</v>
      </c>
      <c r="M455" s="57">
        <v>858.87</v>
      </c>
      <c r="N455" s="57">
        <v>892.77</v>
      </c>
    </row>
    <row r="456" spans="2:28" s="2" customFormat="1" ht="12.9" customHeight="1">
      <c r="B456" s="29" t="s">
        <v>49</v>
      </c>
      <c r="C456" s="16">
        <f t="shared" si="207"/>
        <v>0</v>
      </c>
      <c r="E456" s="29" t="s">
        <v>49</v>
      </c>
      <c r="F456" s="55"/>
      <c r="G456" s="55"/>
      <c r="H456" s="55"/>
      <c r="I456" s="55"/>
      <c r="J456" s="55"/>
      <c r="K456" s="55"/>
      <c r="L456" s="55"/>
      <c r="M456" s="55"/>
      <c r="N456" s="57">
        <v>1238.73</v>
      </c>
      <c r="P456" s="93"/>
      <c r="Q456" s="94"/>
      <c r="R456" s="94"/>
      <c r="S456" s="94"/>
      <c r="T456" s="94"/>
      <c r="U456" s="94"/>
      <c r="V456" s="235" t="s">
        <v>263</v>
      </c>
      <c r="W456" s="236"/>
    </row>
    <row r="457" spans="2:28" s="2" customFormat="1" ht="12.9" customHeight="1">
      <c r="B457" s="29" t="s">
        <v>98</v>
      </c>
      <c r="C457" s="16">
        <f t="shared" si="207"/>
        <v>0</v>
      </c>
      <c r="E457" s="29" t="s">
        <v>98</v>
      </c>
      <c r="F457" s="55"/>
      <c r="G457" s="55"/>
      <c r="H457" s="55"/>
      <c r="I457" s="55"/>
      <c r="J457" s="55">
        <f>+I457</f>
        <v>0</v>
      </c>
      <c r="K457" s="55">
        <f>+J457</f>
        <v>0</v>
      </c>
      <c r="L457" s="55">
        <f>+K457</f>
        <v>0</v>
      </c>
      <c r="M457" s="55">
        <f>+L457</f>
        <v>0</v>
      </c>
      <c r="N457" s="55">
        <f>+M457</f>
        <v>0</v>
      </c>
      <c r="P457" s="95" t="s">
        <v>264</v>
      </c>
      <c r="Q457" s="96" t="s">
        <v>265</v>
      </c>
      <c r="R457" s="96" t="s">
        <v>266</v>
      </c>
      <c r="S457" s="96" t="s">
        <v>267</v>
      </c>
      <c r="T457" s="96" t="s">
        <v>193</v>
      </c>
      <c r="U457" s="96" t="s">
        <v>268</v>
      </c>
      <c r="V457" s="96" t="s">
        <v>269</v>
      </c>
      <c r="W457" s="97" t="s">
        <v>270</v>
      </c>
    </row>
    <row r="458" spans="2:28" s="2" customFormat="1" ht="12.9" customHeight="1">
      <c r="B458" s="29" t="s">
        <v>52</v>
      </c>
      <c r="C458" s="16">
        <f t="shared" si="207"/>
        <v>93.28</v>
      </c>
      <c r="E458" s="29" t="s">
        <v>52</v>
      </c>
      <c r="F458" s="57">
        <v>93.28</v>
      </c>
      <c r="G458" s="55">
        <f t="shared" ref="G458:I462" si="218">+F458</f>
        <v>93.28</v>
      </c>
      <c r="H458" s="55">
        <f t="shared" si="218"/>
        <v>93.28</v>
      </c>
      <c r="I458" s="55">
        <f t="shared" si="218"/>
        <v>93.28</v>
      </c>
      <c r="J458" s="55">
        <f t="shared" ref="J458:N463" si="219">+I458</f>
        <v>93.28</v>
      </c>
      <c r="K458" s="55">
        <f t="shared" si="219"/>
        <v>93.28</v>
      </c>
      <c r="L458" s="55">
        <f t="shared" si="219"/>
        <v>93.28</v>
      </c>
      <c r="M458" s="55">
        <f t="shared" si="219"/>
        <v>93.28</v>
      </c>
      <c r="N458" s="55">
        <f t="shared" si="219"/>
        <v>93.28</v>
      </c>
      <c r="P458" s="95" t="s">
        <v>271</v>
      </c>
      <c r="Q458" s="96">
        <v>20</v>
      </c>
      <c r="R458" s="96">
        <v>2</v>
      </c>
      <c r="S458" s="96">
        <v>3</v>
      </c>
      <c r="T458" s="96">
        <f>Q458*R458*S458</f>
        <v>120</v>
      </c>
      <c r="U458" s="96"/>
      <c r="V458" s="96"/>
      <c r="W458" s="97"/>
    </row>
    <row r="459" spans="2:28" s="2" customFormat="1" ht="12.9" customHeight="1">
      <c r="B459" s="29" t="s">
        <v>54</v>
      </c>
      <c r="C459" s="16">
        <f t="shared" si="207"/>
        <v>117.7</v>
      </c>
      <c r="E459" s="29" t="s">
        <v>54</v>
      </c>
      <c r="F459" s="57">
        <v>117.7</v>
      </c>
      <c r="G459" s="55">
        <f t="shared" si="218"/>
        <v>117.7</v>
      </c>
      <c r="H459" s="55">
        <f t="shared" si="218"/>
        <v>117.7</v>
      </c>
      <c r="I459" s="55">
        <f t="shared" si="218"/>
        <v>117.7</v>
      </c>
      <c r="J459" s="55">
        <f t="shared" si="219"/>
        <v>117.7</v>
      </c>
      <c r="K459" s="55">
        <f t="shared" si="219"/>
        <v>117.7</v>
      </c>
      <c r="L459" s="55">
        <f t="shared" si="219"/>
        <v>117.7</v>
      </c>
      <c r="M459" s="55">
        <f t="shared" si="219"/>
        <v>117.7</v>
      </c>
      <c r="N459" s="55">
        <f t="shared" si="219"/>
        <v>117.7</v>
      </c>
      <c r="P459" s="95" t="s">
        <v>272</v>
      </c>
      <c r="Q459" s="96">
        <v>25</v>
      </c>
      <c r="R459" s="96">
        <v>2</v>
      </c>
      <c r="S459" s="96">
        <v>6</v>
      </c>
      <c r="T459" s="96">
        <f>Q459*R459*S459</f>
        <v>300</v>
      </c>
      <c r="U459" s="98">
        <f>T459+T458</f>
        <v>420</v>
      </c>
      <c r="V459" s="99">
        <v>653.57000000000005</v>
      </c>
      <c r="W459" s="100">
        <v>0.63</v>
      </c>
    </row>
    <row r="460" spans="2:28" s="2" customFormat="1" ht="12.9" customHeight="1">
      <c r="B460" s="29" t="s">
        <v>56</v>
      </c>
      <c r="C460" s="16">
        <f t="shared" si="207"/>
        <v>156.82</v>
      </c>
      <c r="E460" s="29" t="s">
        <v>56</v>
      </c>
      <c r="F460" s="57">
        <v>156.82</v>
      </c>
      <c r="G460" s="55">
        <f t="shared" si="218"/>
        <v>156.82</v>
      </c>
      <c r="H460" s="55">
        <f t="shared" si="218"/>
        <v>156.82</v>
      </c>
      <c r="I460" s="55">
        <f t="shared" si="218"/>
        <v>156.82</v>
      </c>
      <c r="J460" s="55">
        <f t="shared" si="219"/>
        <v>156.82</v>
      </c>
      <c r="K460" s="55">
        <f t="shared" si="219"/>
        <v>156.82</v>
      </c>
      <c r="L460" s="55">
        <f t="shared" si="219"/>
        <v>156.82</v>
      </c>
      <c r="M460" s="55">
        <f t="shared" si="219"/>
        <v>156.82</v>
      </c>
      <c r="N460" s="55">
        <f t="shared" si="219"/>
        <v>156.82</v>
      </c>
      <c r="P460" s="95" t="s">
        <v>273</v>
      </c>
      <c r="Q460" s="96">
        <v>30</v>
      </c>
      <c r="R460" s="96">
        <v>3</v>
      </c>
      <c r="S460" s="96">
        <v>4</v>
      </c>
      <c r="T460" s="96">
        <f t="shared" ref="T460:T461" si="220">Q460*R460*S460</f>
        <v>360</v>
      </c>
      <c r="U460" s="96"/>
      <c r="V460" s="96"/>
      <c r="W460" s="97"/>
    </row>
    <row r="461" spans="2:28" s="2" customFormat="1" ht="12.9" customHeight="1">
      <c r="B461" s="29" t="s">
        <v>58</v>
      </c>
      <c r="C461" s="16">
        <f t="shared" si="207"/>
        <v>214.64</v>
      </c>
      <c r="E461" s="29" t="s">
        <v>58</v>
      </c>
      <c r="F461" s="57">
        <v>214.64</v>
      </c>
      <c r="G461" s="55">
        <f t="shared" si="218"/>
        <v>214.64</v>
      </c>
      <c r="H461" s="55">
        <f t="shared" si="218"/>
        <v>214.64</v>
      </c>
      <c r="I461" s="55">
        <f t="shared" si="218"/>
        <v>214.64</v>
      </c>
      <c r="J461" s="55">
        <f t="shared" si="219"/>
        <v>214.64</v>
      </c>
      <c r="K461" s="55">
        <f t="shared" si="219"/>
        <v>214.64</v>
      </c>
      <c r="L461" s="55">
        <f t="shared" si="219"/>
        <v>214.64</v>
      </c>
      <c r="M461" s="55">
        <f t="shared" si="219"/>
        <v>214.64</v>
      </c>
      <c r="N461" s="55">
        <f t="shared" si="219"/>
        <v>214.64</v>
      </c>
      <c r="P461" s="101" t="s">
        <v>274</v>
      </c>
      <c r="Q461" s="102">
        <v>30</v>
      </c>
      <c r="R461" s="102">
        <v>3</v>
      </c>
      <c r="S461" s="102">
        <v>2</v>
      </c>
      <c r="T461" s="102">
        <f t="shared" si="220"/>
        <v>180</v>
      </c>
      <c r="U461" s="103">
        <f>T461+T460</f>
        <v>540</v>
      </c>
      <c r="V461" s="104">
        <f>V459</f>
        <v>653.57000000000005</v>
      </c>
      <c r="W461" s="105">
        <f>W459</f>
        <v>0.63</v>
      </c>
    </row>
    <row r="462" spans="2:28" s="2" customFormat="1" ht="12.9" customHeight="1">
      <c r="B462" s="29" t="s">
        <v>60</v>
      </c>
      <c r="C462" s="16">
        <f t="shared" si="207"/>
        <v>63.2</v>
      </c>
      <c r="E462" s="29" t="s">
        <v>60</v>
      </c>
      <c r="F462" s="57">
        <v>63.2</v>
      </c>
      <c r="G462" s="55">
        <f t="shared" si="218"/>
        <v>63.2</v>
      </c>
      <c r="H462" s="55">
        <f t="shared" si="218"/>
        <v>63.2</v>
      </c>
      <c r="I462" s="55">
        <f t="shared" si="218"/>
        <v>63.2</v>
      </c>
      <c r="J462" s="55">
        <f t="shared" si="219"/>
        <v>63.2</v>
      </c>
      <c r="K462" s="55">
        <f t="shared" si="219"/>
        <v>63.2</v>
      </c>
      <c r="L462" s="55">
        <f t="shared" si="219"/>
        <v>63.2</v>
      </c>
      <c r="M462" s="55">
        <f t="shared" si="219"/>
        <v>63.2</v>
      </c>
      <c r="N462" s="55">
        <f t="shared" si="219"/>
        <v>63.2</v>
      </c>
    </row>
    <row r="463" spans="2:28" s="2" customFormat="1" ht="12.9" customHeight="1">
      <c r="B463" s="29" t="s">
        <v>103</v>
      </c>
      <c r="C463" s="16">
        <f t="shared" si="207"/>
        <v>70.94</v>
      </c>
      <c r="E463" s="29" t="s">
        <v>103</v>
      </c>
      <c r="F463" s="57">
        <v>44.15</v>
      </c>
      <c r="G463" s="55">
        <f>+F463</f>
        <v>44.15</v>
      </c>
      <c r="H463" s="55">
        <f>+G463</f>
        <v>44.15</v>
      </c>
      <c r="I463" s="57">
        <v>70.94</v>
      </c>
      <c r="J463" s="55">
        <f t="shared" si="219"/>
        <v>70.94</v>
      </c>
      <c r="K463" s="55">
        <f t="shared" si="219"/>
        <v>70.94</v>
      </c>
      <c r="L463" s="55">
        <f t="shared" si="219"/>
        <v>70.94</v>
      </c>
      <c r="M463" s="55">
        <f t="shared" si="219"/>
        <v>70.94</v>
      </c>
      <c r="N463" s="55"/>
      <c r="O463" s="2" t="s">
        <v>275</v>
      </c>
    </row>
    <row r="464" spans="2:28" s="2" customFormat="1" ht="12.9" customHeight="1">
      <c r="B464" s="29" t="s">
        <v>19</v>
      </c>
      <c r="C464" s="16">
        <f t="shared" si="207"/>
        <v>596.26199999999994</v>
      </c>
      <c r="E464" s="29" t="s">
        <v>19</v>
      </c>
      <c r="F464" s="30">
        <f>IF($C$1=F447,'Nómina mensual'!$O$29,0)</f>
        <v>0</v>
      </c>
      <c r="G464" s="30">
        <f>IF($C$1=G447,'Nómina mensual'!$O$29,0)</f>
        <v>0</v>
      </c>
      <c r="H464" s="30">
        <f>IF($C$1=H447,'Nómina mensual'!$O$29,0)</f>
        <v>0</v>
      </c>
      <c r="I464" s="30">
        <f>IF($C$1=I447,'Nómina mensual'!$O$29,0)</f>
        <v>596.26199999999994</v>
      </c>
      <c r="J464" s="30">
        <f>IF($C$1=J447,'Nómina mensual'!$O$29,0)</f>
        <v>0</v>
      </c>
      <c r="K464" s="30">
        <f>IF($C$1=K447,'Nómina mensual'!$O$29,0)</f>
        <v>0</v>
      </c>
      <c r="L464" s="30">
        <f>IF($C$1=L447,'Nómina mensual'!$O$29,0)</f>
        <v>0</v>
      </c>
      <c r="M464" s="30">
        <f>IF($C$1=M447,'Nómina mensual'!$O$29,0)</f>
        <v>0</v>
      </c>
      <c r="N464" s="55"/>
    </row>
    <row r="465" spans="2:14" s="2" customFormat="1" ht="12.9" customHeight="1">
      <c r="B465" s="31" t="s">
        <v>104</v>
      </c>
      <c r="C465" s="16">
        <f t="shared" si="207"/>
        <v>0</v>
      </c>
      <c r="E465" s="31" t="s">
        <v>104</v>
      </c>
      <c r="F465" s="55"/>
      <c r="G465" s="55"/>
      <c r="H465" s="55"/>
      <c r="I465" s="55"/>
      <c r="J465" s="55"/>
      <c r="K465" s="55"/>
      <c r="L465" s="55"/>
      <c r="M465" s="55"/>
      <c r="N465" s="55"/>
    </row>
    <row r="466" spans="2:14" s="2" customFormat="1" ht="12.9" customHeight="1">
      <c r="B466" s="31" t="s">
        <v>106</v>
      </c>
      <c r="C466" s="16">
        <f t="shared" si="207"/>
        <v>0</v>
      </c>
      <c r="E466" s="31" t="s">
        <v>106</v>
      </c>
      <c r="F466" s="55"/>
      <c r="G466" s="55"/>
      <c r="H466" s="55"/>
      <c r="I466" s="55"/>
      <c r="J466" s="55"/>
      <c r="K466" s="55"/>
      <c r="L466" s="55"/>
      <c r="M466" s="55"/>
      <c r="N466" s="55"/>
    </row>
    <row r="467" spans="2:14" s="2" customFormat="1" ht="12.9" customHeight="1">
      <c r="B467" s="31" t="s">
        <v>108</v>
      </c>
      <c r="C467" s="16">
        <f t="shared" si="207"/>
        <v>0</v>
      </c>
      <c r="E467" s="31" t="s">
        <v>108</v>
      </c>
      <c r="F467" s="55"/>
      <c r="G467" s="55"/>
      <c r="H467" s="55"/>
      <c r="I467" s="55"/>
      <c r="J467" s="55"/>
      <c r="K467" s="55"/>
      <c r="L467" s="55"/>
      <c r="M467" s="55"/>
      <c r="N467" s="55"/>
    </row>
    <row r="468" spans="2:14" s="2" customFormat="1" ht="12.9" customHeight="1">
      <c r="B468" s="33" t="s">
        <v>109</v>
      </c>
      <c r="C468" s="16">
        <f t="shared" si="207"/>
        <v>0</v>
      </c>
      <c r="E468" s="33" t="s">
        <v>109</v>
      </c>
      <c r="F468" s="57">
        <v>133.97</v>
      </c>
      <c r="G468" s="55"/>
      <c r="H468" s="55"/>
      <c r="I468" s="55"/>
      <c r="J468" s="55"/>
      <c r="K468" s="55"/>
      <c r="L468" s="55"/>
      <c r="M468" s="55"/>
      <c r="N468" s="55"/>
    </row>
    <row r="469" spans="2:14" s="2" customFormat="1" ht="12.9" customHeight="1">
      <c r="B469" s="34" t="s">
        <v>141</v>
      </c>
      <c r="C469" s="16">
        <f t="shared" si="207"/>
        <v>0</v>
      </c>
      <c r="E469" s="34" t="s">
        <v>141</v>
      </c>
      <c r="F469" s="55"/>
      <c r="G469" s="55"/>
      <c r="H469" s="55"/>
      <c r="I469" s="55"/>
      <c r="J469" s="55"/>
      <c r="K469" s="55"/>
      <c r="L469" s="55"/>
      <c r="M469" s="55"/>
      <c r="N469" s="55"/>
    </row>
    <row r="470" spans="2:14" s="2" customFormat="1" ht="12.9" customHeight="1">
      <c r="B470" s="34" t="s">
        <v>113</v>
      </c>
      <c r="C470" s="16">
        <f t="shared" si="207"/>
        <v>0</v>
      </c>
      <c r="E470" s="34" t="s">
        <v>113</v>
      </c>
      <c r="F470" s="55"/>
      <c r="G470" s="55"/>
      <c r="H470" s="55"/>
      <c r="I470" s="55"/>
      <c r="J470" s="55"/>
      <c r="K470" s="55"/>
      <c r="L470" s="55"/>
      <c r="M470" s="55"/>
      <c r="N470" s="55"/>
    </row>
    <row r="471" spans="2:14" s="2" customFormat="1" ht="12.9" customHeight="1">
      <c r="B471" s="34" t="s">
        <v>115</v>
      </c>
      <c r="C471" s="16">
        <f t="shared" si="207"/>
        <v>0</v>
      </c>
      <c r="E471" s="34" t="s">
        <v>115</v>
      </c>
      <c r="F471" s="55"/>
      <c r="G471" s="55"/>
      <c r="H471" s="55"/>
      <c r="I471" s="55"/>
      <c r="J471" s="55"/>
      <c r="K471" s="55"/>
      <c r="L471" s="55"/>
      <c r="M471" s="55"/>
      <c r="N471" s="55"/>
    </row>
    <row r="472" spans="2:14" s="2" customFormat="1" ht="12.9" customHeight="1">
      <c r="B472" s="35" t="s">
        <v>117</v>
      </c>
      <c r="C472" s="16">
        <f t="shared" si="207"/>
        <v>0</v>
      </c>
      <c r="E472" s="35" t="s">
        <v>117</v>
      </c>
      <c r="F472" s="55"/>
      <c r="G472" s="55"/>
      <c r="H472" s="55"/>
      <c r="I472" s="55"/>
      <c r="J472" s="55"/>
      <c r="K472" s="55"/>
      <c r="L472" s="55"/>
      <c r="M472" s="55"/>
      <c r="N472" s="55"/>
    </row>
    <row r="473" spans="2:14" s="2" customFormat="1" ht="12.9" customHeight="1">
      <c r="B473" s="39" t="s">
        <v>119</v>
      </c>
      <c r="C473" s="16">
        <f t="shared" si="207"/>
        <v>-51.68</v>
      </c>
      <c r="E473" s="39" t="s">
        <v>119</v>
      </c>
      <c r="F473" s="55">
        <f>+F77</f>
        <v>-40.68</v>
      </c>
      <c r="G473" s="55">
        <f t="shared" ref="G473:N473" si="221">+G77</f>
        <v>-40.68</v>
      </c>
      <c r="H473" s="55">
        <f t="shared" si="221"/>
        <v>-40.68</v>
      </c>
      <c r="I473" s="55">
        <f t="shared" si="221"/>
        <v>-51.68</v>
      </c>
      <c r="J473" s="55">
        <f t="shared" si="221"/>
        <v>-51.68</v>
      </c>
      <c r="K473" s="55">
        <f t="shared" si="221"/>
        <v>-51.68</v>
      </c>
      <c r="L473" s="55">
        <f t="shared" si="221"/>
        <v>-51.68</v>
      </c>
      <c r="M473" s="55">
        <f t="shared" si="221"/>
        <v>-51.68</v>
      </c>
      <c r="N473" s="55">
        <f t="shared" si="221"/>
        <v>-51.68</v>
      </c>
    </row>
    <row r="474" spans="2:14" s="2" customFormat="1" ht="12.9" customHeight="1">
      <c r="B474" s="39" t="s">
        <v>121</v>
      </c>
      <c r="C474" s="16">
        <f t="shared" si="207"/>
        <v>118.04</v>
      </c>
      <c r="E474" s="39" t="s">
        <v>121</v>
      </c>
      <c r="F474" s="55">
        <f>+F78</f>
        <v>-92.9</v>
      </c>
      <c r="G474" s="55">
        <f t="shared" ref="G474:N474" si="222">+G78</f>
        <v>-92.9</v>
      </c>
      <c r="H474" s="55">
        <f t="shared" si="222"/>
        <v>-92.9</v>
      </c>
      <c r="I474" s="55">
        <f t="shared" si="222"/>
        <v>118.04</v>
      </c>
      <c r="J474" s="55">
        <f t="shared" si="222"/>
        <v>118.04</v>
      </c>
      <c r="K474" s="55">
        <f t="shared" si="222"/>
        <v>118.04</v>
      </c>
      <c r="L474" s="55">
        <f t="shared" si="222"/>
        <v>118.04</v>
      </c>
      <c r="M474" s="55">
        <f t="shared" si="222"/>
        <v>118.04</v>
      </c>
      <c r="N474" s="55">
        <f t="shared" si="222"/>
        <v>118.04</v>
      </c>
    </row>
    <row r="475" spans="2:14">
      <c r="B475" s="41" t="s">
        <v>80</v>
      </c>
      <c r="C475" s="16">
        <f t="shared" si="207"/>
        <v>48798.947999999989</v>
      </c>
      <c r="E475" s="42" t="s">
        <v>80</v>
      </c>
      <c r="F475" s="92">
        <f>((+F450+F454+F455+F456)*12)+(F452*INT($C$3/3)*12)+((F451+F454)*2)+((F455+F456)*2)+(F464*14)+(F453*INT($C$3/3)*2)+(IF($C$4="s",F468,0))+(((IF(INT($C$3/3)&lt;6,F457,0))+(IF(AND(INT($C$3/6)&gt;0,INT($C$3/6)&lt;2),F458,0))+(IF(AND(INT($C$3/6)&gt;1,INT($C$3/6)&lt;3),F458+F459,0))+(IF(AND(INT($C$3/6)&gt;2,INT($C$3/6)&lt;4),F458+F459+F460,0))+(IF(AND(INT($C$3/6)&gt;3,INT($C$3/6)&lt;5),F458+F459+F460+F461,0))+(IF(INT($C$3/6)&gt;4,F458+F459+F460+F461+F462,0)))*12)+(IF($C$7="s",F463*12,0))++(((IF(INT($C$3/3)&lt;6,F457,0))+(IF(AND(INT($C$3/6)&gt;0,INT($C$3/6)&lt;2),F458,0))+(IF(AND(INT($C$3/6)&gt;1,INT($C$3/6)&lt;3),F458+F459,0))+(IF(AND(INT($C$3/6)&gt;2,INT($C$3/6)&lt;4),F458+F459+F460,0))+(IF(AND(INT($C$3/6)&gt;3,INT($C$3/6)&lt;5),F458+F459+F460+F461,0))+(IF(INT($C$3/6)&gt;4,F458+F459+F460+F461+F462,0)))*2)+(F469*12)+(F470*2)</f>
        <v>35965.160000000003</v>
      </c>
      <c r="G475" s="92">
        <f t="shared" ref="G475:N475" si="223">((+G450+G454+G455+G456)*12)+(G452*INT($C$3/3)*12)+((G451+G454)*2)+((G455+G456)*2)+(G464*14)+(G453*INT($C$3/3)*2)+(IF($C$4="s",G468,0))+(((IF(INT($C$3/3)&lt;6,G457,0))+(IF(AND(INT($C$3/6)&gt;0,INT($C$3/6)&lt;2),G458,0))+(IF(AND(INT($C$3/6)&gt;1,INT($C$3/6)&lt;3),G458+G459,0))+(IF(AND(INT($C$3/6)&gt;2,INT($C$3/6)&lt;4),G458+G459+G460,0))+(IF(AND(INT($C$3/6)&gt;3,INT($C$3/6)&lt;5),G458+G459+G460+G461,0))+(IF(INT($C$3/6)&gt;4,G458+G459+G460+G461+G462,0)))*12)+(IF($C$7="s",G463*12,0))++(((IF(INT($C$3/3)&lt;6,G457,0))+(IF(AND(INT($C$3/6)&gt;0,INT($C$3/6)&lt;2),G458,0))+(IF(AND(INT($C$3/6)&gt;1,INT($C$3/6)&lt;3),G458+G459,0))+(IF(AND(INT($C$3/6)&gt;2,INT($C$3/6)&lt;4),G458+G459+G460,0))+(IF(AND(INT($C$3/6)&gt;3,INT($C$3/6)&lt;5),G458+G459+G460+G461,0))+(IF(INT($C$3/6)&gt;4,G458+G459+G460+G461+G462,0)))*2)+(G469*12)+(G470*2)</f>
        <v>38115.560000000005</v>
      </c>
      <c r="H475" s="92">
        <f t="shared" si="223"/>
        <v>37883.580000000009</v>
      </c>
      <c r="I475" s="92">
        <f t="shared" si="223"/>
        <v>48798.947999999989</v>
      </c>
      <c r="J475" s="92">
        <f t="shared" si="223"/>
        <v>40451.279999999992</v>
      </c>
      <c r="K475" s="92">
        <f t="shared" si="223"/>
        <v>40451.279999999992</v>
      </c>
      <c r="L475" s="92">
        <f t="shared" si="223"/>
        <v>40451.279999999992</v>
      </c>
      <c r="M475" s="92">
        <f t="shared" si="223"/>
        <v>43317.079999999994</v>
      </c>
      <c r="N475" s="92">
        <f t="shared" si="223"/>
        <v>61133.9</v>
      </c>
    </row>
    <row r="482" spans="2:36" s="2" customFormat="1" ht="12.9" customHeight="1">
      <c r="B482" s="9"/>
      <c r="C482" s="2" t="str">
        <f>+E483</f>
        <v>Murcia</v>
      </c>
    </row>
    <row r="483" spans="2:36" s="2" customFormat="1" ht="35.25" customHeight="1">
      <c r="C483" s="10" t="str">
        <f>+$C$11</f>
        <v>590-Profesores Enseñanza Secundaria</v>
      </c>
      <c r="E483" s="11" t="s">
        <v>38</v>
      </c>
      <c r="F483" s="12" t="s">
        <v>120</v>
      </c>
      <c r="G483" s="12" t="s">
        <v>110</v>
      </c>
      <c r="H483" s="12" t="s">
        <v>118</v>
      </c>
      <c r="I483" s="12" t="s">
        <v>4</v>
      </c>
      <c r="J483" s="12" t="s">
        <v>112</v>
      </c>
      <c r="K483" s="12" t="s">
        <v>114</v>
      </c>
      <c r="L483" s="12" t="s">
        <v>116</v>
      </c>
      <c r="M483" s="12" t="s">
        <v>107</v>
      </c>
      <c r="N483" s="12" t="s">
        <v>105</v>
      </c>
      <c r="O483" s="13" t="s">
        <v>148</v>
      </c>
      <c r="Q483" s="14" t="s">
        <v>137</v>
      </c>
      <c r="R483" s="14"/>
      <c r="S483" s="60"/>
      <c r="T483" s="60"/>
      <c r="U483" s="60"/>
      <c r="V483" s="60"/>
      <c r="W483" s="14" t="s">
        <v>138</v>
      </c>
      <c r="X483" s="60"/>
      <c r="Y483" s="60"/>
      <c r="Z483" s="47"/>
      <c r="AA483" s="47"/>
    </row>
    <row r="484" spans="2:36" s="2" customFormat="1" ht="12.9" customHeight="1">
      <c r="B484" s="44" t="s">
        <v>91</v>
      </c>
      <c r="C484" s="16" t="str">
        <f t="shared" ref="C484:C511" si="224">IF($C$11=$F$11,F484,IF($C$11=G$11,G484,IF($C$11=H$11,H484,IF($C$11=I$11,I484,IF($C$11=J$11,J484,IF($C$11=K$11,K484,IF($C$11=L$11,L484,IF($C$11=M$11,M484,N484))))))))</f>
        <v>A1</v>
      </c>
      <c r="E484" s="45" t="s">
        <v>91</v>
      </c>
      <c r="F484" s="17" t="s">
        <v>137</v>
      </c>
      <c r="G484" s="17" t="s">
        <v>137</v>
      </c>
      <c r="H484" s="17" t="s">
        <v>137</v>
      </c>
      <c r="I484" s="17" t="s">
        <v>138</v>
      </c>
      <c r="J484" s="17" t="s">
        <v>138</v>
      </c>
      <c r="K484" s="17" t="s">
        <v>138</v>
      </c>
      <c r="L484" s="17" t="s">
        <v>138</v>
      </c>
      <c r="M484" s="17" t="s">
        <v>138</v>
      </c>
      <c r="N484" s="17" t="s">
        <v>138</v>
      </c>
      <c r="Q484" s="47"/>
      <c r="R484" s="47" t="s">
        <v>20</v>
      </c>
      <c r="S484" s="47" t="s">
        <v>123</v>
      </c>
      <c r="T484" s="47" t="s">
        <v>126</v>
      </c>
      <c r="U484" s="47" t="s">
        <v>129</v>
      </c>
      <c r="V484" s="47" t="s">
        <v>130</v>
      </c>
      <c r="W484" s="47" t="s">
        <v>20</v>
      </c>
      <c r="X484" s="47" t="s">
        <v>123</v>
      </c>
      <c r="Y484" s="47" t="s">
        <v>126</v>
      </c>
      <c r="Z484" s="47" t="s">
        <v>129</v>
      </c>
      <c r="AA484" s="47" t="s">
        <v>130</v>
      </c>
    </row>
    <row r="485" spans="2:36" s="2" customFormat="1" ht="12.9" customHeight="1">
      <c r="B485" s="44" t="str">
        <f>+E485</f>
        <v>Nivel</v>
      </c>
      <c r="C485" s="16">
        <f t="shared" si="224"/>
        <v>24</v>
      </c>
      <c r="E485" s="45" t="s">
        <v>144</v>
      </c>
      <c r="F485" s="17">
        <v>21</v>
      </c>
      <c r="G485" s="17">
        <v>24</v>
      </c>
      <c r="H485" s="17">
        <v>24</v>
      </c>
      <c r="I485" s="17">
        <v>24</v>
      </c>
      <c r="J485" s="17">
        <v>24</v>
      </c>
      <c r="K485" s="17">
        <v>24</v>
      </c>
      <c r="L485" s="17">
        <v>24</v>
      </c>
      <c r="M485" s="17">
        <v>26</v>
      </c>
      <c r="N485" s="17">
        <v>26</v>
      </c>
      <c r="Q485" s="47" t="s">
        <v>124</v>
      </c>
      <c r="R485" s="47">
        <v>0</v>
      </c>
      <c r="S485" s="19">
        <v>913.32</v>
      </c>
      <c r="T485" s="19"/>
      <c r="U485" s="19">
        <v>520.74</v>
      </c>
      <c r="V485" s="19">
        <f>U485</f>
        <v>520.74</v>
      </c>
      <c r="W485" s="47">
        <v>0</v>
      </c>
      <c r="X485" s="19">
        <v>1100.32</v>
      </c>
      <c r="Y485" s="19"/>
      <c r="Z485" s="19">
        <v>621.24</v>
      </c>
      <c r="AA485" s="59">
        <f>Z485</f>
        <v>621.24</v>
      </c>
    </row>
    <row r="486" spans="2:36" s="2" customFormat="1" ht="12.9" customHeight="1">
      <c r="B486" s="22" t="s">
        <v>43</v>
      </c>
      <c r="C486" s="16">
        <f t="shared" si="224"/>
        <v>1387.24</v>
      </c>
      <c r="E486" s="22" t="s">
        <v>43</v>
      </c>
      <c r="F486" s="23">
        <f t="shared" ref="F486:I489" si="225">+F450</f>
        <v>1199.52</v>
      </c>
      <c r="G486" s="23">
        <f t="shared" si="225"/>
        <v>1199.52</v>
      </c>
      <c r="H486" s="23">
        <f t="shared" si="225"/>
        <v>1199.52</v>
      </c>
      <c r="I486" s="23">
        <f t="shared" si="225"/>
        <v>1387.24</v>
      </c>
      <c r="J486" s="23">
        <f t="shared" ref="J486:N489" si="226">+I486</f>
        <v>1387.24</v>
      </c>
      <c r="K486" s="23">
        <f t="shared" si="226"/>
        <v>1387.24</v>
      </c>
      <c r="L486" s="23">
        <f t="shared" si="226"/>
        <v>1387.24</v>
      </c>
      <c r="M486" s="23">
        <f t="shared" si="226"/>
        <v>1387.24</v>
      </c>
      <c r="N486" s="23">
        <f t="shared" si="226"/>
        <v>1387.24</v>
      </c>
      <c r="Q486" s="47" t="s">
        <v>127</v>
      </c>
      <c r="R486" s="47">
        <v>0</v>
      </c>
      <c r="S486" s="19">
        <v>832.82</v>
      </c>
      <c r="T486" s="19"/>
      <c r="U486" s="19">
        <v>477.45</v>
      </c>
      <c r="V486" s="19">
        <f t="shared" ref="V486:V489" si="227">U486</f>
        <v>477.45</v>
      </c>
      <c r="W486" s="47">
        <v>0</v>
      </c>
      <c r="X486" s="19">
        <v>956.65</v>
      </c>
      <c r="Y486" s="19"/>
      <c r="Z486" s="19">
        <v>544.01</v>
      </c>
      <c r="AA486" s="59">
        <f>Z486</f>
        <v>544.01</v>
      </c>
    </row>
    <row r="487" spans="2:36" s="2" customFormat="1" ht="12.9" customHeight="1">
      <c r="B487" s="22" t="s">
        <v>92</v>
      </c>
      <c r="C487" s="16">
        <f t="shared" si="224"/>
        <v>856.05</v>
      </c>
      <c r="E487" s="22" t="s">
        <v>92</v>
      </c>
      <c r="F487" s="25">
        <f t="shared" si="225"/>
        <v>874.83</v>
      </c>
      <c r="G487" s="25">
        <f t="shared" si="225"/>
        <v>874.83</v>
      </c>
      <c r="H487" s="25">
        <f t="shared" si="225"/>
        <v>874.83</v>
      </c>
      <c r="I487" s="25">
        <f t="shared" si="225"/>
        <v>856.05</v>
      </c>
      <c r="J487" s="23">
        <f t="shared" si="226"/>
        <v>856.05</v>
      </c>
      <c r="K487" s="23">
        <f t="shared" si="226"/>
        <v>856.05</v>
      </c>
      <c r="L487" s="23">
        <f t="shared" si="226"/>
        <v>856.05</v>
      </c>
      <c r="M487" s="23">
        <f t="shared" si="226"/>
        <v>856.05</v>
      </c>
      <c r="N487" s="23">
        <f t="shared" si="226"/>
        <v>856.05</v>
      </c>
      <c r="Q487" s="47" t="s">
        <v>22</v>
      </c>
      <c r="R487" s="47">
        <v>0</v>
      </c>
      <c r="S487" s="19">
        <v>646.54</v>
      </c>
      <c r="T487" s="19"/>
      <c r="U487" s="19">
        <v>377.27</v>
      </c>
      <c r="V487" s="19">
        <f t="shared" si="227"/>
        <v>377.27</v>
      </c>
      <c r="W487" s="47">
        <v>0</v>
      </c>
      <c r="X487" s="19">
        <v>872.05</v>
      </c>
      <c r="Y487" s="19"/>
      <c r="Z487" s="19">
        <v>498.55</v>
      </c>
      <c r="AA487" s="59">
        <f>Z487</f>
        <v>498.55</v>
      </c>
    </row>
    <row r="488" spans="2:36" s="2" customFormat="1" ht="12.9" customHeight="1">
      <c r="B488" s="22" t="s">
        <v>93</v>
      </c>
      <c r="C488" s="16">
        <f t="shared" si="224"/>
        <v>53.39</v>
      </c>
      <c r="E488" s="22" t="s">
        <v>93</v>
      </c>
      <c r="F488" s="23">
        <f t="shared" si="225"/>
        <v>43.54</v>
      </c>
      <c r="G488" s="23">
        <f t="shared" si="225"/>
        <v>43.54</v>
      </c>
      <c r="H488" s="23">
        <f t="shared" si="225"/>
        <v>43.54</v>
      </c>
      <c r="I488" s="23">
        <f t="shared" si="225"/>
        <v>53.39</v>
      </c>
      <c r="J488" s="23">
        <f t="shared" si="226"/>
        <v>53.39</v>
      </c>
      <c r="K488" s="23">
        <f t="shared" si="226"/>
        <v>53.39</v>
      </c>
      <c r="L488" s="23">
        <f t="shared" si="226"/>
        <v>53.39</v>
      </c>
      <c r="M488" s="23">
        <f t="shared" si="226"/>
        <v>53.39</v>
      </c>
      <c r="N488" s="23">
        <f t="shared" si="226"/>
        <v>53.39</v>
      </c>
      <c r="Q488" s="47" t="s">
        <v>131</v>
      </c>
      <c r="R488" s="47">
        <v>0</v>
      </c>
      <c r="S488" s="19">
        <v>526.98</v>
      </c>
      <c r="T488" s="19"/>
      <c r="U488" s="19">
        <v>313.01</v>
      </c>
      <c r="V488" s="19">
        <f t="shared" si="227"/>
        <v>313.01</v>
      </c>
      <c r="W488" s="47">
        <v>0</v>
      </c>
      <c r="X488" s="19">
        <v>795.56</v>
      </c>
      <c r="Y488" s="19"/>
      <c r="Z488" s="19">
        <v>450.63</v>
      </c>
      <c r="AA488" s="19">
        <v>457.39</v>
      </c>
      <c r="AB488" s="26"/>
      <c r="AC488" s="26"/>
    </row>
    <row r="489" spans="2:36" s="2" customFormat="1" ht="12.9" customHeight="1">
      <c r="B489" s="22" t="s">
        <v>95</v>
      </c>
      <c r="C489" s="16">
        <f t="shared" si="224"/>
        <v>32.96</v>
      </c>
      <c r="E489" s="22" t="s">
        <v>95</v>
      </c>
      <c r="F489" s="25">
        <f t="shared" si="225"/>
        <v>31.74</v>
      </c>
      <c r="G489" s="25">
        <f t="shared" si="225"/>
        <v>31.74</v>
      </c>
      <c r="H489" s="25">
        <f t="shared" si="225"/>
        <v>31.74</v>
      </c>
      <c r="I489" s="25">
        <f t="shared" si="225"/>
        <v>32.96</v>
      </c>
      <c r="J489" s="23">
        <f t="shared" si="226"/>
        <v>32.96</v>
      </c>
      <c r="K489" s="23">
        <f t="shared" si="226"/>
        <v>32.96</v>
      </c>
      <c r="L489" s="23">
        <f t="shared" si="226"/>
        <v>32.96</v>
      </c>
      <c r="M489" s="23">
        <f t="shared" si="226"/>
        <v>32.96</v>
      </c>
      <c r="N489" s="23">
        <f t="shared" si="226"/>
        <v>32.96</v>
      </c>
      <c r="Q489" s="47" t="s">
        <v>133</v>
      </c>
      <c r="R489" s="47">
        <v>0</v>
      </c>
      <c r="S489" s="19">
        <v>395.02</v>
      </c>
      <c r="T489" s="26"/>
      <c r="U489" s="19">
        <v>242.09</v>
      </c>
      <c r="V489" s="19">
        <f t="shared" si="227"/>
        <v>242.09</v>
      </c>
      <c r="W489" s="47">
        <v>0</v>
      </c>
      <c r="X489" s="26"/>
      <c r="Y489" s="26"/>
      <c r="Z489" s="19"/>
      <c r="AA489" s="26" t="s">
        <v>120</v>
      </c>
      <c r="AB489" s="2" t="s">
        <v>110</v>
      </c>
      <c r="AC489" s="2" t="s">
        <v>118</v>
      </c>
      <c r="AD489" s="2" t="s">
        <v>4</v>
      </c>
      <c r="AE489" s="2" t="s">
        <v>112</v>
      </c>
      <c r="AF489" s="2" t="s">
        <v>114</v>
      </c>
      <c r="AG489" s="2" t="s">
        <v>116</v>
      </c>
      <c r="AH489" s="2" t="s">
        <v>107</v>
      </c>
      <c r="AI489" s="2" t="s">
        <v>105</v>
      </c>
    </row>
    <row r="490" spans="2:36" s="2" customFormat="1" ht="12.9" customHeight="1">
      <c r="B490" s="22" t="s">
        <v>46</v>
      </c>
      <c r="C490" s="16">
        <f t="shared" si="224"/>
        <v>729.14</v>
      </c>
      <c r="E490" s="22" t="s">
        <v>46</v>
      </c>
      <c r="F490" s="57">
        <v>592.11</v>
      </c>
      <c r="G490" s="27">
        <v>729.14</v>
      </c>
      <c r="H490" s="23">
        <f>G490</f>
        <v>729.14</v>
      </c>
      <c r="I490" s="23">
        <f>G490</f>
        <v>729.14</v>
      </c>
      <c r="J490" s="23">
        <f>G490</f>
        <v>729.14</v>
      </c>
      <c r="K490" s="23">
        <f>G490</f>
        <v>729.14</v>
      </c>
      <c r="L490" s="23">
        <f>G490</f>
        <v>729.14</v>
      </c>
      <c r="M490" s="27">
        <v>873.38</v>
      </c>
      <c r="N490" s="23">
        <f t="shared" ref="N490" si="228">+N454</f>
        <v>873.38</v>
      </c>
      <c r="Q490" s="47" t="s">
        <v>134</v>
      </c>
      <c r="R490" s="47">
        <v>0</v>
      </c>
      <c r="S490" s="19">
        <v>204.86</v>
      </c>
      <c r="T490" s="26"/>
      <c r="U490" s="26"/>
      <c r="V490" s="26"/>
      <c r="W490" s="47">
        <v>0</v>
      </c>
      <c r="X490" s="26"/>
      <c r="Y490" s="26"/>
      <c r="Z490" s="19"/>
      <c r="AA490" s="19">
        <v>240.24</v>
      </c>
      <c r="AB490" s="52">
        <v>295.87</v>
      </c>
      <c r="AC490" s="53">
        <f>AB490</f>
        <v>295.87</v>
      </c>
      <c r="AD490" s="53">
        <f>AB490</f>
        <v>295.87</v>
      </c>
      <c r="AE490" s="53">
        <f>AB490</f>
        <v>295.87</v>
      </c>
      <c r="AF490" s="53">
        <f>AB490</f>
        <v>295.87</v>
      </c>
      <c r="AG490" s="53">
        <f>AB490</f>
        <v>295.87</v>
      </c>
      <c r="AH490" s="52">
        <v>354.36</v>
      </c>
      <c r="AI490" s="53">
        <f>AH490</f>
        <v>354.36</v>
      </c>
      <c r="AJ490" s="2" t="s">
        <v>276</v>
      </c>
    </row>
    <row r="491" spans="2:36" s="2" customFormat="1" ht="12.9" customHeight="1">
      <c r="B491" s="22" t="s">
        <v>48</v>
      </c>
      <c r="C491" s="16">
        <f t="shared" si="224"/>
        <v>433.42</v>
      </c>
      <c r="E491" s="22" t="s">
        <v>277</v>
      </c>
      <c r="F491" s="27">
        <v>433.42</v>
      </c>
      <c r="G491" s="23">
        <f t="shared" ref="G491:L491" si="229">+F491</f>
        <v>433.42</v>
      </c>
      <c r="H491" s="23">
        <f t="shared" si="229"/>
        <v>433.42</v>
      </c>
      <c r="I491" s="23">
        <f t="shared" si="229"/>
        <v>433.42</v>
      </c>
      <c r="J491" s="23">
        <f t="shared" si="229"/>
        <v>433.42</v>
      </c>
      <c r="K491" s="23">
        <f t="shared" si="229"/>
        <v>433.42</v>
      </c>
      <c r="L491" s="23">
        <f t="shared" si="229"/>
        <v>433.42</v>
      </c>
      <c r="M491" s="27">
        <v>492.81</v>
      </c>
      <c r="N491" s="32">
        <v>463.7</v>
      </c>
      <c r="O491" s="2" t="s">
        <v>149</v>
      </c>
      <c r="AA491" s="26"/>
      <c r="AH491" s="26"/>
    </row>
    <row r="492" spans="2:36" s="2" customFormat="1" ht="12.9" customHeight="1">
      <c r="B492" s="29" t="s">
        <v>49</v>
      </c>
      <c r="C492" s="16">
        <f t="shared" si="224"/>
        <v>444.36</v>
      </c>
      <c r="E492" s="29" t="s">
        <v>278</v>
      </c>
      <c r="F492" s="27">
        <v>437.91</v>
      </c>
      <c r="G492" s="27">
        <v>444.36</v>
      </c>
      <c r="H492" s="23">
        <f>+G492</f>
        <v>444.36</v>
      </c>
      <c r="I492" s="23">
        <f>+H492</f>
        <v>444.36</v>
      </c>
      <c r="J492" s="23">
        <f>+I492</f>
        <v>444.36</v>
      </c>
      <c r="K492" s="23">
        <f>+J492</f>
        <v>444.36</v>
      </c>
      <c r="L492" s="23">
        <f>+K492</f>
        <v>444.36</v>
      </c>
      <c r="M492" s="27">
        <v>447.68</v>
      </c>
      <c r="N492" s="23">
        <f>+M492+O492</f>
        <v>1577.58</v>
      </c>
      <c r="O492" s="32">
        <v>1129.9000000000001</v>
      </c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" t="s">
        <v>279</v>
      </c>
      <c r="AA492" s="19">
        <v>524.07000000000005</v>
      </c>
      <c r="AB492" s="43">
        <f>AA492</f>
        <v>524.07000000000005</v>
      </c>
      <c r="AC492" s="2">
        <f>+AB492</f>
        <v>524.07000000000005</v>
      </c>
      <c r="AD492" s="2">
        <f t="shared" ref="AD492:AG492" si="230">+AC492</f>
        <v>524.07000000000005</v>
      </c>
      <c r="AE492" s="2">
        <f t="shared" si="230"/>
        <v>524.07000000000005</v>
      </c>
      <c r="AF492" s="2">
        <f t="shared" si="230"/>
        <v>524.07000000000005</v>
      </c>
      <c r="AG492" s="2">
        <f t="shared" si="230"/>
        <v>524.07000000000005</v>
      </c>
      <c r="AH492" s="19">
        <v>586.77</v>
      </c>
      <c r="AI492" s="2">
        <f>+AH492+O492</f>
        <v>1716.67</v>
      </c>
    </row>
    <row r="493" spans="2:36" s="2" customFormat="1" ht="12.9" customHeight="1">
      <c r="B493" s="29" t="s">
        <v>98</v>
      </c>
      <c r="C493" s="16">
        <f>IF($C$11=$F$11,F493,IF($C$11=G$11,G493,IF($C$11=H$11,H493,IF($C$11=I$11,I493,IF($C$11=J$11,J493,IF($C$11=K$11,K493,IF($C$11=L$11,L493,IF($C$11=M$11,M493,O492))))))))</f>
        <v>0</v>
      </c>
      <c r="E493" s="29"/>
      <c r="F493" s="27"/>
      <c r="G493" s="23">
        <f t="shared" ref="G493" si="231">+F493</f>
        <v>0</v>
      </c>
      <c r="H493" s="23">
        <f t="shared" ref="H493" si="232">+G493</f>
        <v>0</v>
      </c>
      <c r="I493" s="23">
        <f t="shared" ref="I493" si="233">+H493</f>
        <v>0</v>
      </c>
      <c r="J493" s="23">
        <f t="shared" ref="J493" si="234">+I493</f>
        <v>0</v>
      </c>
      <c r="K493" s="23">
        <f t="shared" ref="K493" si="235">+J493</f>
        <v>0</v>
      </c>
      <c r="L493" s="23">
        <f t="shared" ref="L493" si="236">+K493</f>
        <v>0</v>
      </c>
      <c r="M493" s="23">
        <f t="shared" ref="M493" si="237">+L493</f>
        <v>0</v>
      </c>
      <c r="N493" s="23">
        <f t="shared" ref="N493" si="238">+M493</f>
        <v>0</v>
      </c>
    </row>
    <row r="494" spans="2:36" s="2" customFormat="1" ht="12.9" customHeight="1">
      <c r="B494" s="29" t="s">
        <v>52</v>
      </c>
      <c r="C494" s="16">
        <f t="shared" si="224"/>
        <v>70.45</v>
      </c>
      <c r="E494" s="29" t="s">
        <v>52</v>
      </c>
      <c r="F494" s="27">
        <v>70.45</v>
      </c>
      <c r="G494" s="23">
        <f t="shared" ref="G494:I499" si="239">+F494</f>
        <v>70.45</v>
      </c>
      <c r="H494" s="23">
        <f t="shared" si="239"/>
        <v>70.45</v>
      </c>
      <c r="I494" s="23">
        <f t="shared" si="239"/>
        <v>70.45</v>
      </c>
      <c r="J494" s="23">
        <f t="shared" ref="J494:N499" si="240">+I494</f>
        <v>70.45</v>
      </c>
      <c r="K494" s="23">
        <f t="shared" si="240"/>
        <v>70.45</v>
      </c>
      <c r="L494" s="23">
        <f t="shared" si="240"/>
        <v>70.45</v>
      </c>
      <c r="M494" s="23">
        <f t="shared" si="240"/>
        <v>70.45</v>
      </c>
      <c r="N494" s="23">
        <f t="shared" si="240"/>
        <v>70.45</v>
      </c>
      <c r="Z494" s="237" t="s">
        <v>140</v>
      </c>
      <c r="AA494" s="19">
        <v>44.97</v>
      </c>
      <c r="AB494" s="2">
        <f>+AA494</f>
        <v>44.97</v>
      </c>
      <c r="AC494" s="2">
        <f t="shared" ref="AC494:AI494" si="241">+AB494</f>
        <v>44.97</v>
      </c>
      <c r="AD494" s="2">
        <f t="shared" si="241"/>
        <v>44.97</v>
      </c>
      <c r="AE494" s="2">
        <f t="shared" si="241"/>
        <v>44.97</v>
      </c>
      <c r="AF494" s="2">
        <f t="shared" si="241"/>
        <v>44.97</v>
      </c>
      <c r="AG494" s="2">
        <f t="shared" si="241"/>
        <v>44.97</v>
      </c>
      <c r="AH494" s="2">
        <f t="shared" si="241"/>
        <v>44.97</v>
      </c>
      <c r="AI494" s="2">
        <f t="shared" si="241"/>
        <v>44.97</v>
      </c>
    </row>
    <row r="495" spans="2:36" s="2" customFormat="1" ht="12.9" customHeight="1">
      <c r="B495" s="29" t="s">
        <v>54</v>
      </c>
      <c r="C495" s="16">
        <f t="shared" si="224"/>
        <v>88.89</v>
      </c>
      <c r="E495" s="29" t="s">
        <v>54</v>
      </c>
      <c r="F495" s="27">
        <v>88.89</v>
      </c>
      <c r="G495" s="23">
        <f t="shared" si="239"/>
        <v>88.89</v>
      </c>
      <c r="H495" s="23">
        <f t="shared" si="239"/>
        <v>88.89</v>
      </c>
      <c r="I495" s="23">
        <f t="shared" si="239"/>
        <v>88.89</v>
      </c>
      <c r="J495" s="23">
        <f t="shared" si="240"/>
        <v>88.89</v>
      </c>
      <c r="K495" s="23">
        <f t="shared" si="240"/>
        <v>88.89</v>
      </c>
      <c r="L495" s="23">
        <f t="shared" si="240"/>
        <v>88.89</v>
      </c>
      <c r="M495" s="23">
        <f t="shared" si="240"/>
        <v>88.89</v>
      </c>
      <c r="N495" s="23">
        <f t="shared" si="240"/>
        <v>88.89</v>
      </c>
      <c r="Z495" s="238"/>
      <c r="AA495" s="19">
        <v>56.94</v>
      </c>
      <c r="AB495" s="2">
        <f t="shared" ref="AB495:AI495" si="242">+AA495</f>
        <v>56.94</v>
      </c>
      <c r="AC495" s="2">
        <f t="shared" si="242"/>
        <v>56.94</v>
      </c>
      <c r="AD495" s="2">
        <f t="shared" si="242"/>
        <v>56.94</v>
      </c>
      <c r="AE495" s="2">
        <f t="shared" si="242"/>
        <v>56.94</v>
      </c>
      <c r="AF495" s="2">
        <f t="shared" si="242"/>
        <v>56.94</v>
      </c>
      <c r="AG495" s="2">
        <f t="shared" si="242"/>
        <v>56.94</v>
      </c>
      <c r="AH495" s="2">
        <f t="shared" si="242"/>
        <v>56.94</v>
      </c>
      <c r="AI495" s="2">
        <f t="shared" si="242"/>
        <v>56.94</v>
      </c>
    </row>
    <row r="496" spans="2:36" s="2" customFormat="1" ht="12.9" customHeight="1">
      <c r="B496" s="29" t="s">
        <v>56</v>
      </c>
      <c r="C496" s="16">
        <f t="shared" si="224"/>
        <v>118.44</v>
      </c>
      <c r="E496" s="29" t="s">
        <v>56</v>
      </c>
      <c r="F496" s="27">
        <v>118.44</v>
      </c>
      <c r="G496" s="23">
        <f t="shared" si="239"/>
        <v>118.44</v>
      </c>
      <c r="H496" s="23">
        <f t="shared" si="239"/>
        <v>118.44</v>
      </c>
      <c r="I496" s="23">
        <f t="shared" si="239"/>
        <v>118.44</v>
      </c>
      <c r="J496" s="23">
        <f t="shared" si="240"/>
        <v>118.44</v>
      </c>
      <c r="K496" s="23">
        <f t="shared" si="240"/>
        <v>118.44</v>
      </c>
      <c r="L496" s="23">
        <f t="shared" si="240"/>
        <v>118.44</v>
      </c>
      <c r="M496" s="23">
        <f t="shared" si="240"/>
        <v>118.44</v>
      </c>
      <c r="N496" s="23">
        <f t="shared" si="240"/>
        <v>118.44</v>
      </c>
      <c r="Z496" s="238"/>
      <c r="AA496" s="19">
        <v>75.73</v>
      </c>
      <c r="AB496" s="2">
        <f t="shared" ref="AB496:AI496" si="243">+AA496</f>
        <v>75.73</v>
      </c>
      <c r="AC496" s="2">
        <f t="shared" si="243"/>
        <v>75.73</v>
      </c>
      <c r="AD496" s="2">
        <f t="shared" si="243"/>
        <v>75.73</v>
      </c>
      <c r="AE496" s="2">
        <f t="shared" si="243"/>
        <v>75.73</v>
      </c>
      <c r="AF496" s="2">
        <f t="shared" si="243"/>
        <v>75.73</v>
      </c>
      <c r="AG496" s="2">
        <f t="shared" si="243"/>
        <v>75.73</v>
      </c>
      <c r="AH496" s="2">
        <f t="shared" si="243"/>
        <v>75.73</v>
      </c>
      <c r="AI496" s="2">
        <f t="shared" si="243"/>
        <v>75.73</v>
      </c>
    </row>
    <row r="497" spans="2:35" s="2" customFormat="1" ht="12.9" customHeight="1">
      <c r="B497" s="29" t="s">
        <v>58</v>
      </c>
      <c r="C497" s="16">
        <f t="shared" si="224"/>
        <v>162.07</v>
      </c>
      <c r="E497" s="29" t="s">
        <v>58</v>
      </c>
      <c r="F497" s="27">
        <v>162.07</v>
      </c>
      <c r="G497" s="23">
        <f t="shared" si="239"/>
        <v>162.07</v>
      </c>
      <c r="H497" s="23">
        <f t="shared" si="239"/>
        <v>162.07</v>
      </c>
      <c r="I497" s="23">
        <f t="shared" si="239"/>
        <v>162.07</v>
      </c>
      <c r="J497" s="23">
        <f t="shared" si="240"/>
        <v>162.07</v>
      </c>
      <c r="K497" s="23">
        <f t="shared" si="240"/>
        <v>162.07</v>
      </c>
      <c r="L497" s="23">
        <f t="shared" si="240"/>
        <v>162.07</v>
      </c>
      <c r="M497" s="23">
        <f t="shared" si="240"/>
        <v>162.07</v>
      </c>
      <c r="N497" s="23">
        <f t="shared" si="240"/>
        <v>162.07</v>
      </c>
      <c r="Z497" s="238"/>
      <c r="AA497" s="19">
        <v>103.68</v>
      </c>
      <c r="AB497" s="2">
        <f t="shared" ref="AB497:AI497" si="244">+AA497</f>
        <v>103.68</v>
      </c>
      <c r="AC497" s="2">
        <f t="shared" si="244"/>
        <v>103.68</v>
      </c>
      <c r="AD497" s="2">
        <f t="shared" si="244"/>
        <v>103.68</v>
      </c>
      <c r="AE497" s="2">
        <f t="shared" si="244"/>
        <v>103.68</v>
      </c>
      <c r="AF497" s="2">
        <f t="shared" si="244"/>
        <v>103.68</v>
      </c>
      <c r="AG497" s="2">
        <f t="shared" si="244"/>
        <v>103.68</v>
      </c>
      <c r="AH497" s="2">
        <f t="shared" si="244"/>
        <v>103.68</v>
      </c>
      <c r="AI497" s="2">
        <f t="shared" si="244"/>
        <v>103.68</v>
      </c>
    </row>
    <row r="498" spans="2:35" s="2" customFormat="1" ht="12.9" customHeight="1">
      <c r="B498" s="29" t="s">
        <v>60</v>
      </c>
      <c r="C498" s="16">
        <f t="shared" si="224"/>
        <v>47.38</v>
      </c>
      <c r="E498" s="29" t="s">
        <v>60</v>
      </c>
      <c r="F498" s="27">
        <v>47.38</v>
      </c>
      <c r="G498" s="23">
        <f t="shared" si="239"/>
        <v>47.38</v>
      </c>
      <c r="H498" s="23">
        <f t="shared" si="239"/>
        <v>47.38</v>
      </c>
      <c r="I498" s="23">
        <f t="shared" si="239"/>
        <v>47.38</v>
      </c>
      <c r="J498" s="23">
        <f t="shared" si="240"/>
        <v>47.38</v>
      </c>
      <c r="K498" s="23">
        <f t="shared" si="240"/>
        <v>47.38</v>
      </c>
      <c r="L498" s="23">
        <f t="shared" si="240"/>
        <v>47.38</v>
      </c>
      <c r="M498" s="23">
        <f t="shared" si="240"/>
        <v>47.38</v>
      </c>
      <c r="N498" s="23">
        <f t="shared" si="240"/>
        <v>47.38</v>
      </c>
      <c r="Z498" s="238"/>
      <c r="AA498" s="19">
        <v>30.57</v>
      </c>
      <c r="AB498" s="2">
        <f t="shared" ref="AB498:AI498" si="245">+AA498</f>
        <v>30.57</v>
      </c>
      <c r="AC498" s="2">
        <f t="shared" si="245"/>
        <v>30.57</v>
      </c>
      <c r="AD498" s="2">
        <f t="shared" si="245"/>
        <v>30.57</v>
      </c>
      <c r="AE498" s="2">
        <f t="shared" si="245"/>
        <v>30.57</v>
      </c>
      <c r="AF498" s="2">
        <f t="shared" si="245"/>
        <v>30.57</v>
      </c>
      <c r="AG498" s="2">
        <f t="shared" si="245"/>
        <v>30.57</v>
      </c>
      <c r="AH498" s="2">
        <f t="shared" si="245"/>
        <v>30.57</v>
      </c>
      <c r="AI498" s="2">
        <f t="shared" si="245"/>
        <v>30.57</v>
      </c>
    </row>
    <row r="499" spans="2:35" s="2" customFormat="1" ht="12.9" customHeight="1">
      <c r="B499" s="29" t="s">
        <v>103</v>
      </c>
      <c r="C499" s="16">
        <f t="shared" si="224"/>
        <v>0</v>
      </c>
      <c r="E499" s="29" t="s">
        <v>103</v>
      </c>
      <c r="F499" s="23"/>
      <c r="G499" s="23">
        <f t="shared" si="239"/>
        <v>0</v>
      </c>
      <c r="H499" s="23">
        <f t="shared" si="239"/>
        <v>0</v>
      </c>
      <c r="I499" s="23">
        <f t="shared" si="239"/>
        <v>0</v>
      </c>
      <c r="J499" s="23">
        <f t="shared" si="240"/>
        <v>0</v>
      </c>
      <c r="K499" s="23">
        <f t="shared" si="240"/>
        <v>0</v>
      </c>
      <c r="L499" s="23">
        <f t="shared" si="240"/>
        <v>0</v>
      </c>
      <c r="M499" s="23">
        <f t="shared" si="240"/>
        <v>0</v>
      </c>
      <c r="N499" s="23">
        <f t="shared" si="240"/>
        <v>0</v>
      </c>
    </row>
    <row r="500" spans="2:35" s="2" customFormat="1" ht="12.9" customHeight="1">
      <c r="B500" s="29" t="s">
        <v>19</v>
      </c>
      <c r="C500" s="16">
        <f t="shared" si="224"/>
        <v>0</v>
      </c>
      <c r="E500" s="29" t="s">
        <v>19</v>
      </c>
      <c r="F500" s="30">
        <f>IF($C$1=F483,'Nómina mensual'!$P$29,0)</f>
        <v>0</v>
      </c>
      <c r="G500" s="30">
        <f>IF($C$1=G483,'Nómina mensual'!$P$29,0)</f>
        <v>0</v>
      </c>
      <c r="H500" s="30">
        <f>IF($C$1=H483,'Nómina mensual'!$P$29,0)</f>
        <v>0</v>
      </c>
      <c r="I500" s="30">
        <f>IF($C$1=I483,'Nómina mensual'!$P$29,0)</f>
        <v>0</v>
      </c>
      <c r="J500" s="30">
        <f>IF($C$1=J483,'Nómina mensual'!$P$29,0)</f>
        <v>0</v>
      </c>
      <c r="K500" s="30">
        <f>IF($C$1=K483,'Nómina mensual'!$P$29,0)</f>
        <v>0</v>
      </c>
      <c r="L500" s="30">
        <f>IF($C$1=L483,'Nómina mensual'!$P$29,0)</f>
        <v>0</v>
      </c>
      <c r="M500" s="30">
        <f>IF($C$1=M483,'Nómina mensual'!$P$29,0)</f>
        <v>0</v>
      </c>
      <c r="N500" s="23"/>
    </row>
    <row r="501" spans="2:35" s="2" customFormat="1" ht="12.9" customHeight="1">
      <c r="B501" s="31" t="s">
        <v>104</v>
      </c>
      <c r="C501" s="16">
        <f t="shared" si="224"/>
        <v>0</v>
      </c>
      <c r="E501" s="31" t="s">
        <v>104</v>
      </c>
      <c r="F501" s="23"/>
      <c r="G501" s="23"/>
      <c r="H501" s="23"/>
      <c r="I501" s="23"/>
      <c r="J501" s="23"/>
      <c r="K501" s="23"/>
      <c r="L501" s="23"/>
      <c r="M501" s="23"/>
      <c r="N501" s="23"/>
    </row>
    <row r="502" spans="2:35" s="2" customFormat="1" ht="12.9" customHeight="1">
      <c r="B502" s="31" t="s">
        <v>106</v>
      </c>
      <c r="C502" s="16">
        <f t="shared" si="224"/>
        <v>0</v>
      </c>
      <c r="E502" s="31" t="s">
        <v>106</v>
      </c>
      <c r="F502" s="23"/>
      <c r="G502" s="23"/>
      <c r="H502" s="23"/>
      <c r="I502" s="23"/>
      <c r="J502" s="23"/>
      <c r="K502" s="23"/>
      <c r="L502" s="23"/>
      <c r="M502" s="23"/>
      <c r="N502" s="23"/>
    </row>
    <row r="503" spans="2:35" s="2" customFormat="1" ht="12.9" customHeight="1">
      <c r="B503" s="31" t="s">
        <v>108</v>
      </c>
      <c r="C503" s="16">
        <f t="shared" si="224"/>
        <v>0</v>
      </c>
      <c r="E503" s="31" t="s">
        <v>108</v>
      </c>
      <c r="F503" s="23"/>
      <c r="G503" s="23"/>
      <c r="H503" s="23"/>
      <c r="I503" s="23"/>
      <c r="J503" s="23"/>
      <c r="K503" s="23"/>
      <c r="L503" s="23"/>
      <c r="M503" s="23"/>
      <c r="N503" s="23"/>
    </row>
    <row r="504" spans="2:35" s="2" customFormat="1" ht="12.9" customHeight="1">
      <c r="B504" s="33" t="s">
        <v>109</v>
      </c>
      <c r="C504" s="16">
        <f t="shared" si="224"/>
        <v>0</v>
      </c>
      <c r="E504" s="33" t="s">
        <v>109</v>
      </c>
      <c r="F504" s="27">
        <v>139.1</v>
      </c>
      <c r="G504" s="23"/>
      <c r="H504" s="23"/>
      <c r="I504" s="23"/>
      <c r="J504" s="23"/>
      <c r="K504" s="23"/>
      <c r="L504" s="23"/>
      <c r="M504" s="23"/>
      <c r="N504" s="23"/>
    </row>
    <row r="505" spans="2:35" s="2" customFormat="1" ht="12.9" customHeight="1">
      <c r="B505" s="34" t="s">
        <v>141</v>
      </c>
      <c r="C505" s="16">
        <f t="shared" si="224"/>
        <v>160.6</v>
      </c>
      <c r="E505" s="34" t="s">
        <v>280</v>
      </c>
      <c r="F505" s="27">
        <v>90.26</v>
      </c>
      <c r="G505" s="23">
        <f>+F505</f>
        <v>90.26</v>
      </c>
      <c r="H505" s="23">
        <f>+G505</f>
        <v>90.26</v>
      </c>
      <c r="I505" s="27">
        <v>160.6</v>
      </c>
      <c r="J505" s="23">
        <f>+I505</f>
        <v>160.6</v>
      </c>
      <c r="K505" s="23">
        <f>+J505</f>
        <v>160.6</v>
      </c>
      <c r="L505" s="23">
        <f>+K505</f>
        <v>160.6</v>
      </c>
      <c r="M505" s="23">
        <f>+L505</f>
        <v>160.6</v>
      </c>
      <c r="N505" s="23">
        <f>+M505</f>
        <v>160.6</v>
      </c>
    </row>
    <row r="506" spans="2:35" s="2" customFormat="1" ht="12.9" customHeight="1">
      <c r="B506" s="34" t="s">
        <v>113</v>
      </c>
      <c r="C506" s="16">
        <f t="shared" si="224"/>
        <v>1080.9000000000001</v>
      </c>
      <c r="E506" s="34" t="s">
        <v>281</v>
      </c>
      <c r="F506" s="27">
        <v>1025.27</v>
      </c>
      <c r="G506" s="27">
        <v>1080.9000000000001</v>
      </c>
      <c r="H506" s="23">
        <f>G506</f>
        <v>1080.9000000000001</v>
      </c>
      <c r="I506" s="23">
        <f>G506</f>
        <v>1080.9000000000001</v>
      </c>
      <c r="J506" s="23">
        <f>G506</f>
        <v>1080.9000000000001</v>
      </c>
      <c r="K506" s="23">
        <f>G506</f>
        <v>1080.9000000000001</v>
      </c>
      <c r="L506" s="23">
        <f>G506</f>
        <v>1080.9000000000001</v>
      </c>
      <c r="M506" s="27">
        <v>1240.1099999999999</v>
      </c>
      <c r="N506" s="30">
        <f>IF($C$5="SI",AI490+AI492,0)</f>
        <v>0</v>
      </c>
      <c r="O506" s="47" t="s">
        <v>282</v>
      </c>
    </row>
    <row r="507" spans="2:35" s="2" customFormat="1" ht="12.9" customHeight="1">
      <c r="B507" s="34" t="s">
        <v>115</v>
      </c>
      <c r="C507" s="16">
        <f t="shared" si="224"/>
        <v>0</v>
      </c>
      <c r="E507" s="34" t="s">
        <v>115</v>
      </c>
      <c r="F507" s="23"/>
      <c r="G507" s="23"/>
      <c r="H507" s="23"/>
      <c r="I507" s="23"/>
      <c r="J507" s="23"/>
      <c r="K507" s="23"/>
      <c r="L507" s="23"/>
      <c r="M507" s="23"/>
      <c r="N507" s="23"/>
    </row>
    <row r="508" spans="2:35" s="2" customFormat="1" ht="12.9" customHeight="1">
      <c r="B508" s="35" t="s">
        <v>117</v>
      </c>
      <c r="C508" s="16">
        <f t="shared" si="224"/>
        <v>0</v>
      </c>
      <c r="E508" s="35" t="s">
        <v>117</v>
      </c>
      <c r="F508" s="23"/>
      <c r="G508" s="23"/>
      <c r="H508" s="23"/>
      <c r="I508" s="23"/>
      <c r="J508" s="23"/>
      <c r="K508" s="23"/>
      <c r="L508" s="23"/>
      <c r="M508" s="23"/>
      <c r="N508" s="23"/>
    </row>
    <row r="509" spans="2:35" s="2" customFormat="1" ht="12.9" customHeight="1">
      <c r="B509" s="39" t="s">
        <v>119</v>
      </c>
      <c r="C509" s="16">
        <f t="shared" si="224"/>
        <v>-51.68</v>
      </c>
      <c r="E509" s="39" t="s">
        <v>119</v>
      </c>
      <c r="F509" s="50">
        <f>+F77</f>
        <v>-40.68</v>
      </c>
      <c r="G509" s="50">
        <f t="shared" ref="G509:N509" si="246">+G77</f>
        <v>-40.68</v>
      </c>
      <c r="H509" s="50">
        <f t="shared" si="246"/>
        <v>-40.68</v>
      </c>
      <c r="I509" s="50">
        <f t="shared" si="246"/>
        <v>-51.68</v>
      </c>
      <c r="J509" s="50">
        <f t="shared" si="246"/>
        <v>-51.68</v>
      </c>
      <c r="K509" s="50">
        <f t="shared" si="246"/>
        <v>-51.68</v>
      </c>
      <c r="L509" s="50">
        <f t="shared" si="246"/>
        <v>-51.68</v>
      </c>
      <c r="M509" s="50">
        <f t="shared" si="246"/>
        <v>-51.68</v>
      </c>
      <c r="N509" s="50">
        <f t="shared" si="246"/>
        <v>-51.68</v>
      </c>
    </row>
    <row r="510" spans="2:35" s="2" customFormat="1" ht="12.9" customHeight="1">
      <c r="B510" s="39" t="s">
        <v>121</v>
      </c>
      <c r="C510" s="16">
        <f t="shared" si="224"/>
        <v>118.04</v>
      </c>
      <c r="E510" s="39" t="s">
        <v>121</v>
      </c>
      <c r="F510" s="50">
        <f>+F78</f>
        <v>-92.9</v>
      </c>
      <c r="G510" s="50">
        <f t="shared" ref="G510:N510" si="247">+G78</f>
        <v>-92.9</v>
      </c>
      <c r="H510" s="50">
        <f t="shared" si="247"/>
        <v>-92.9</v>
      </c>
      <c r="I510" s="50">
        <f t="shared" si="247"/>
        <v>118.04</v>
      </c>
      <c r="J510" s="50">
        <f t="shared" si="247"/>
        <v>118.04</v>
      </c>
      <c r="K510" s="50">
        <f t="shared" si="247"/>
        <v>118.04</v>
      </c>
      <c r="L510" s="50">
        <f t="shared" si="247"/>
        <v>118.04</v>
      </c>
      <c r="M510" s="50">
        <f t="shared" si="247"/>
        <v>118.04</v>
      </c>
      <c r="N510" s="50">
        <f t="shared" si="247"/>
        <v>118.04</v>
      </c>
    </row>
    <row r="511" spans="2:35">
      <c r="B511" s="41" t="s">
        <v>80</v>
      </c>
      <c r="C511" s="16">
        <f t="shared" si="224"/>
        <v>44422.119999999995</v>
      </c>
      <c r="E511" s="42" t="s">
        <v>80</v>
      </c>
      <c r="F511" s="3">
        <f>((+F486+F490+F491+F492)*12)+(F488*INT($C$3/3)*12)+((F487+F490)*2)+(F500*14)+((AA491+AA492)*2)+(F489*INT($C$3/3)*2)+(IF($C$4="si",F504,0))+(((IF(INT($C$3/3)&lt;6,F493,0))+(IF(AND(INT($C$3/6)&gt;0,INT($C$3/6)&lt;2),F494,0))+(IF(AND(INT($C$3/6)&gt;1,INT($C$3/6)&lt;3),F494+F495,0))+(IF(AND(INT($C$3/6)&gt;2,INT($C$3/6)&lt;4),F494+F495+F496,0))+(IF(AND(INT($C$3/6)&gt;3,INT($C$3/6)&lt;5),F494+F495+F496+F497,0))+(IF(INT($C$3/6)&gt;4,F494+F495+F496+F497+F498,0)))*12)+(IF($C$7="si",F499*12,0))++(((IF(INT($C$3/3)&lt;6,F493,0))+(IF(AND(INT($C$3/6)&gt;0,INT($C$3/6)&lt;2),AA494,0))+(IF(AND(INT($C$3/6)&gt;1,INT($C$3/6)&lt;3),AA494+AA495,0))+(IF(AND(INT($C$3/6)&gt;2,INT($C$3/6)&lt;4),AA494+AA495+AA496,0))+(IF(AND(INT($C$3/6)&gt;3,INT($C$3/6)&lt;5),AA494+AA495+AA496+AA497,0))+(IF(INT($C$3/6)&gt;4,AA494+AA495+AA496+AA497+AA498,0)))*2)+(F505*12)+(AA490*2)+(AA492*2)</f>
        <v>39135.240000000005</v>
      </c>
      <c r="G511" s="3">
        <f t="shared" ref="G511:N511" si="248">((+G486+G490+G491+G492)*12)+(G488*INT($C$3/3)*12)+((G487+G490)*2)+(G500*14)+((AB491+AB492)*2)+(G489*INT($C$3/3)*2)+(IF($C$4="si",G504,0))+(((IF(INT($C$3/3)&lt;6,G493,0))+(IF(AND(INT($C$3/6)&gt;0,INT($C$3/6)&lt;2),G494,0))+(IF(AND(INT($C$3/6)&gt;1,INT($C$3/6)&lt;3),G494+G495,0))+(IF(AND(INT($C$3/6)&gt;2,INT($C$3/6)&lt;4),G494+G495+G496,0))+(IF(AND(INT($C$3/6)&gt;3,INT($C$3/6)&lt;5),G494+G495+G496+G497,0))+(IF(INT($C$3/6)&gt;4,G494+G495+G496+G497+G498,0)))*12)+(IF($C$7="si",G499*12,0))++(((IF(INT($C$3/3)&lt;6,G493,0))+(IF(AND(INT($C$3/6)&gt;0,INT($C$3/6)&lt;2),AB494,0))+(IF(AND(INT($C$3/6)&gt;1,INT($C$3/6)&lt;3),AB494+AB495,0))+(IF(AND(INT($C$3/6)&gt;2,INT($C$3/6)&lt;4),AB494+AB495+AB496,0))+(IF(AND(INT($C$3/6)&gt;3,INT($C$3/6)&lt;5),AB494+AB495+AB496+AB497,0))+(IF(INT($C$3/6)&gt;4,AB494+AB495+AB496+AB497+AB498,0)))*2)+(G505*12)+(AB490*2)+(AB492*2)</f>
        <v>41242.320000000007</v>
      </c>
      <c r="H511" s="3">
        <f t="shared" si="248"/>
        <v>41242.320000000007</v>
      </c>
      <c r="I511" s="3">
        <f t="shared" si="248"/>
        <v>44422.119999999995</v>
      </c>
      <c r="J511" s="3">
        <f t="shared" si="248"/>
        <v>44422.119999999995</v>
      </c>
      <c r="K511" s="3">
        <f t="shared" si="248"/>
        <v>44422.119999999995</v>
      </c>
      <c r="L511" s="3">
        <f t="shared" si="248"/>
        <v>44422.119999999995</v>
      </c>
      <c r="M511" s="3">
        <f t="shared" si="248"/>
        <v>47561.779999999992</v>
      </c>
      <c r="N511" s="3">
        <f t="shared" si="248"/>
        <v>65290.859999999986</v>
      </c>
    </row>
    <row r="518" spans="2:27" s="2" customFormat="1" ht="12.9" customHeight="1">
      <c r="B518" s="9"/>
      <c r="C518" s="2" t="str">
        <f>+E519</f>
        <v>Valencia</v>
      </c>
    </row>
    <row r="519" spans="2:27" s="2" customFormat="1" ht="35.25" customHeight="1">
      <c r="C519" s="10" t="str">
        <f>+$C$11</f>
        <v>590-Profesores Enseñanza Secundaria</v>
      </c>
      <c r="E519" s="11" t="s">
        <v>39</v>
      </c>
      <c r="F519" s="12" t="s">
        <v>120</v>
      </c>
      <c r="G519" s="12" t="s">
        <v>110</v>
      </c>
      <c r="H519" s="12" t="s">
        <v>118</v>
      </c>
      <c r="I519" s="12" t="s">
        <v>4</v>
      </c>
      <c r="J519" s="12" t="s">
        <v>112</v>
      </c>
      <c r="K519" s="12" t="s">
        <v>114</v>
      </c>
      <c r="L519" s="12" t="s">
        <v>116</v>
      </c>
      <c r="M519" s="12" t="s">
        <v>107</v>
      </c>
      <c r="N519" s="12" t="s">
        <v>105</v>
      </c>
      <c r="O519" s="106">
        <v>46054</v>
      </c>
      <c r="Q519" s="14" t="s">
        <v>137</v>
      </c>
      <c r="R519" s="14"/>
      <c r="S519" s="60"/>
      <c r="T519" s="60"/>
      <c r="U519" s="60"/>
      <c r="V519" s="60"/>
      <c r="W519" s="14" t="s">
        <v>138</v>
      </c>
      <c r="X519" s="60"/>
      <c r="Y519" s="60"/>
      <c r="Z519" s="47"/>
      <c r="AA519" s="47"/>
    </row>
    <row r="520" spans="2:27" s="2" customFormat="1" ht="12.9" customHeight="1">
      <c r="B520" s="44" t="s">
        <v>91</v>
      </c>
      <c r="C520" s="16" t="str">
        <f t="shared" ref="C520:C547" si="249">IF($C$11=$F$11,F520,IF($C$11=G$11,G520,IF($C$11=H$11,H520,IF($C$11=I$11,I520,IF($C$11=J$11,J520,IF($C$11=K$11,K520,IF($C$11=L$11,L520,IF($C$11=M$11,M520,N520))))))))</f>
        <v>A1</v>
      </c>
      <c r="E520" s="45" t="s">
        <v>91</v>
      </c>
      <c r="F520" s="17" t="s">
        <v>137</v>
      </c>
      <c r="G520" s="17" t="s">
        <v>137</v>
      </c>
      <c r="H520" s="17" t="s">
        <v>137</v>
      </c>
      <c r="I520" s="17" t="s">
        <v>138</v>
      </c>
      <c r="J520" s="17" t="s">
        <v>138</v>
      </c>
      <c r="K520" s="17" t="s">
        <v>138</v>
      </c>
      <c r="L520" s="17" t="s">
        <v>138</v>
      </c>
      <c r="M520" s="17" t="s">
        <v>138</v>
      </c>
      <c r="N520" s="17" t="s">
        <v>138</v>
      </c>
      <c r="Q520" s="47"/>
      <c r="R520" s="47" t="s">
        <v>20</v>
      </c>
      <c r="S520" s="47" t="s">
        <v>123</v>
      </c>
      <c r="T520" s="47" t="s">
        <v>126</v>
      </c>
      <c r="U520" s="47" t="s">
        <v>129</v>
      </c>
      <c r="V520" s="47" t="s">
        <v>130</v>
      </c>
      <c r="W520" s="47" t="s">
        <v>20</v>
      </c>
      <c r="X520" s="47" t="s">
        <v>123</v>
      </c>
      <c r="Y520" s="47" t="s">
        <v>126</v>
      </c>
      <c r="Z520" s="47" t="s">
        <v>129</v>
      </c>
      <c r="AA520" s="47" t="s">
        <v>130</v>
      </c>
    </row>
    <row r="521" spans="2:27" s="2" customFormat="1" ht="12.9" customHeight="1">
      <c r="B521" s="44" t="str">
        <f>+E521</f>
        <v>Nivel</v>
      </c>
      <c r="C521" s="16">
        <f t="shared" si="249"/>
        <v>24</v>
      </c>
      <c r="E521" s="45" t="s">
        <v>144</v>
      </c>
      <c r="F521" s="17">
        <v>21</v>
      </c>
      <c r="G521" s="17">
        <v>24</v>
      </c>
      <c r="H521" s="17">
        <v>24</v>
      </c>
      <c r="I521" s="17">
        <v>24</v>
      </c>
      <c r="J521" s="17">
        <v>24</v>
      </c>
      <c r="K521" s="17">
        <v>24</v>
      </c>
      <c r="L521" s="17">
        <v>24</v>
      </c>
      <c r="M521" s="17">
        <v>26</v>
      </c>
      <c r="N521" s="17">
        <v>26</v>
      </c>
      <c r="Q521" s="47" t="s">
        <v>124</v>
      </c>
      <c r="R521" s="47">
        <v>0</v>
      </c>
      <c r="S521" s="19">
        <v>776.35</v>
      </c>
      <c r="T521" s="19">
        <v>0</v>
      </c>
      <c r="U521" s="19">
        <v>504.65</v>
      </c>
      <c r="V521" s="43">
        <f>U521</f>
        <v>504.65</v>
      </c>
      <c r="W521" s="47">
        <v>0</v>
      </c>
      <c r="X521" s="19">
        <v>920.42</v>
      </c>
      <c r="Y521" s="19">
        <v>598.30999999999995</v>
      </c>
      <c r="Z521" s="43">
        <f>Y521</f>
        <v>598.30999999999995</v>
      </c>
      <c r="AA521" s="43">
        <f>Y521</f>
        <v>598.30999999999995</v>
      </c>
    </row>
    <row r="522" spans="2:27" s="2" customFormat="1" ht="12.9" customHeight="1">
      <c r="B522" s="22" t="s">
        <v>43</v>
      </c>
      <c r="C522" s="16">
        <f t="shared" si="249"/>
        <v>1387.24</v>
      </c>
      <c r="E522" s="22" t="s">
        <v>43</v>
      </c>
      <c r="F522" s="23">
        <f>+F486</f>
        <v>1199.52</v>
      </c>
      <c r="G522" s="23">
        <f>+G486</f>
        <v>1199.52</v>
      </c>
      <c r="H522" s="23">
        <f>+H486</f>
        <v>1199.52</v>
      </c>
      <c r="I522" s="23">
        <f>+I486</f>
        <v>1387.24</v>
      </c>
      <c r="J522" s="23">
        <f t="shared" ref="J522:N525" si="250">+I522</f>
        <v>1387.24</v>
      </c>
      <c r="K522" s="23">
        <f t="shared" si="250"/>
        <v>1387.24</v>
      </c>
      <c r="L522" s="23">
        <f t="shared" si="250"/>
        <v>1387.24</v>
      </c>
      <c r="M522" s="23">
        <f t="shared" si="250"/>
        <v>1387.24</v>
      </c>
      <c r="N522" s="23">
        <f t="shared" si="250"/>
        <v>1387.24</v>
      </c>
      <c r="Q522" s="47" t="s">
        <v>127</v>
      </c>
      <c r="R522" s="47">
        <v>0</v>
      </c>
      <c r="S522" s="19">
        <v>714.32</v>
      </c>
      <c r="T522" s="19">
        <v>0</v>
      </c>
      <c r="U522" s="19">
        <v>464.33</v>
      </c>
      <c r="V522" s="43">
        <f t="shared" ref="V522:V524" si="251">U522</f>
        <v>464.33</v>
      </c>
      <c r="W522" s="47">
        <v>0</v>
      </c>
      <c r="X522" s="19">
        <v>809.73</v>
      </c>
      <c r="Y522" s="19">
        <v>526.33000000000004</v>
      </c>
      <c r="Z522" s="43">
        <f>Y522</f>
        <v>526.33000000000004</v>
      </c>
      <c r="AA522" s="43">
        <f>Y522</f>
        <v>526.33000000000004</v>
      </c>
    </row>
    <row r="523" spans="2:27" s="2" customFormat="1" ht="12.9" customHeight="1">
      <c r="B523" s="22" t="s">
        <v>92</v>
      </c>
      <c r="C523" s="16">
        <f t="shared" si="249"/>
        <v>856.05</v>
      </c>
      <c r="E523" s="22" t="s">
        <v>92</v>
      </c>
      <c r="F523" s="30">
        <f>+F55</f>
        <v>874.83</v>
      </c>
      <c r="G523" s="25">
        <f>F523</f>
        <v>874.83</v>
      </c>
      <c r="H523" s="25">
        <f>F523</f>
        <v>874.83</v>
      </c>
      <c r="I523" s="30">
        <f>+I55</f>
        <v>856.05</v>
      </c>
      <c r="J523" s="23">
        <f t="shared" si="250"/>
        <v>856.05</v>
      </c>
      <c r="K523" s="23">
        <f t="shared" si="250"/>
        <v>856.05</v>
      </c>
      <c r="L523" s="23">
        <f t="shared" si="250"/>
        <v>856.05</v>
      </c>
      <c r="M523" s="23">
        <f t="shared" si="250"/>
        <v>856.05</v>
      </c>
      <c r="N523" s="23">
        <f t="shared" si="250"/>
        <v>856.05</v>
      </c>
      <c r="Q523" s="47" t="s">
        <v>22</v>
      </c>
      <c r="R523" s="47">
        <v>0</v>
      </c>
      <c r="S523" s="19">
        <v>550.63</v>
      </c>
      <c r="T523" s="19">
        <v>0</v>
      </c>
      <c r="U523" s="19">
        <v>357.96</v>
      </c>
      <c r="V523" s="43">
        <f t="shared" si="251"/>
        <v>357.96</v>
      </c>
      <c r="W523" s="47">
        <v>0</v>
      </c>
      <c r="X523" s="19">
        <v>744.57</v>
      </c>
      <c r="Y523" s="19">
        <v>483.99</v>
      </c>
      <c r="Z523" s="43">
        <f>Y523</f>
        <v>483.99</v>
      </c>
      <c r="AA523" s="43">
        <f>Y523</f>
        <v>483.99</v>
      </c>
    </row>
    <row r="524" spans="2:27" s="2" customFormat="1" ht="12.9" customHeight="1">
      <c r="B524" s="22" t="s">
        <v>93</v>
      </c>
      <c r="C524" s="16">
        <f t="shared" si="249"/>
        <v>53.39</v>
      </c>
      <c r="E524" s="22" t="s">
        <v>93</v>
      </c>
      <c r="F524" s="23">
        <f>+F488</f>
        <v>43.54</v>
      </c>
      <c r="G524" s="23">
        <f>+G488</f>
        <v>43.54</v>
      </c>
      <c r="H524" s="23">
        <f>+H488</f>
        <v>43.54</v>
      </c>
      <c r="I524" s="23">
        <f>+I488</f>
        <v>53.39</v>
      </c>
      <c r="J524" s="23">
        <f t="shared" si="250"/>
        <v>53.39</v>
      </c>
      <c r="K524" s="23">
        <f t="shared" si="250"/>
        <v>53.39</v>
      </c>
      <c r="L524" s="23">
        <f t="shared" si="250"/>
        <v>53.39</v>
      </c>
      <c r="M524" s="23">
        <f t="shared" si="250"/>
        <v>53.39</v>
      </c>
      <c r="N524" s="23">
        <f t="shared" si="250"/>
        <v>53.39</v>
      </c>
      <c r="Q524" s="47" t="s">
        <v>131</v>
      </c>
      <c r="R524" s="47">
        <v>0</v>
      </c>
      <c r="S524" s="19">
        <v>438.98</v>
      </c>
      <c r="T524" s="19">
        <v>0</v>
      </c>
      <c r="U524" s="19">
        <v>285.33999999999997</v>
      </c>
      <c r="V524" s="43">
        <f t="shared" si="251"/>
        <v>285.33999999999997</v>
      </c>
      <c r="W524" s="47">
        <v>0</v>
      </c>
      <c r="X524" s="19"/>
      <c r="Y524" s="19"/>
      <c r="Z524" s="19"/>
      <c r="AA524" s="19"/>
    </row>
    <row r="525" spans="2:27" s="2" customFormat="1" ht="12.9" customHeight="1">
      <c r="B525" s="22" t="s">
        <v>95</v>
      </c>
      <c r="C525" s="16">
        <f t="shared" si="249"/>
        <v>32.96</v>
      </c>
      <c r="E525" s="22" t="s">
        <v>95</v>
      </c>
      <c r="F525" s="30">
        <f>+F57</f>
        <v>31.74</v>
      </c>
      <c r="G525" s="25">
        <f>F525</f>
        <v>31.74</v>
      </c>
      <c r="H525" s="25">
        <f>F525</f>
        <v>31.74</v>
      </c>
      <c r="I525" s="25">
        <f>+I57</f>
        <v>32.96</v>
      </c>
      <c r="J525" s="23">
        <f t="shared" si="250"/>
        <v>32.96</v>
      </c>
      <c r="K525" s="23">
        <f t="shared" si="250"/>
        <v>32.96</v>
      </c>
      <c r="L525" s="23">
        <f t="shared" si="250"/>
        <v>32.96</v>
      </c>
      <c r="M525" s="23">
        <f t="shared" si="250"/>
        <v>32.96</v>
      </c>
      <c r="N525" s="23">
        <f t="shared" si="250"/>
        <v>32.96</v>
      </c>
      <c r="Q525" s="47" t="s">
        <v>133</v>
      </c>
      <c r="R525" s="47">
        <v>0</v>
      </c>
      <c r="S525" s="19">
        <v>193.33</v>
      </c>
      <c r="T525" s="19">
        <v>0</v>
      </c>
      <c r="U525" s="26"/>
      <c r="V525" s="19"/>
      <c r="W525" s="47">
        <v>0</v>
      </c>
      <c r="X525" s="26"/>
      <c r="Y525" s="19"/>
      <c r="Z525" s="19"/>
      <c r="AA525" s="26"/>
    </row>
    <row r="526" spans="2:27" s="2" customFormat="1" ht="12.9" customHeight="1">
      <c r="B526" s="22" t="s">
        <v>46</v>
      </c>
      <c r="C526" s="16">
        <f t="shared" si="249"/>
        <v>729.14</v>
      </c>
      <c r="E526" s="22" t="s">
        <v>46</v>
      </c>
      <c r="F526" s="55">
        <f>+F418</f>
        <v>592.11</v>
      </c>
      <c r="G526" s="55">
        <f t="shared" ref="G526:N526" si="252">+G418</f>
        <v>729.14</v>
      </c>
      <c r="H526" s="55">
        <f t="shared" si="252"/>
        <v>729.14</v>
      </c>
      <c r="I526" s="55">
        <f t="shared" si="252"/>
        <v>729.14</v>
      </c>
      <c r="J526" s="55">
        <f t="shared" si="252"/>
        <v>729.14</v>
      </c>
      <c r="K526" s="55">
        <f t="shared" si="252"/>
        <v>729.14</v>
      </c>
      <c r="L526" s="55">
        <f t="shared" si="252"/>
        <v>729.14</v>
      </c>
      <c r="M526" s="55">
        <f t="shared" si="252"/>
        <v>873.38</v>
      </c>
      <c r="N526" s="55">
        <f t="shared" si="252"/>
        <v>873.38</v>
      </c>
      <c r="Q526" s="47" t="s">
        <v>134</v>
      </c>
      <c r="R526" s="47">
        <v>0</v>
      </c>
      <c r="S526" s="19"/>
      <c r="T526" s="26"/>
      <c r="U526" s="26"/>
      <c r="V526" s="26"/>
      <c r="W526" s="47">
        <v>0</v>
      </c>
      <c r="X526" s="26"/>
      <c r="Y526" s="26"/>
      <c r="Z526" s="19"/>
      <c r="AA526" s="26"/>
    </row>
    <row r="527" spans="2:27" s="2" customFormat="1" ht="12.9" customHeight="1">
      <c r="B527" s="22" t="s">
        <v>48</v>
      </c>
      <c r="C527" s="16">
        <f t="shared" si="249"/>
        <v>731</v>
      </c>
      <c r="E527" s="22" t="s">
        <v>48</v>
      </c>
      <c r="F527" s="27">
        <v>726.47</v>
      </c>
      <c r="G527" s="27">
        <v>728.07</v>
      </c>
      <c r="H527" s="23">
        <f>+G527</f>
        <v>728.07</v>
      </c>
      <c r="I527" s="27">
        <v>731</v>
      </c>
      <c r="J527" s="23">
        <f>+I527</f>
        <v>731</v>
      </c>
      <c r="K527" s="23">
        <f>+J527</f>
        <v>731</v>
      </c>
      <c r="L527" s="23">
        <f>+K527</f>
        <v>731</v>
      </c>
      <c r="M527" s="27">
        <v>795.25</v>
      </c>
      <c r="N527" s="46">
        <v>1586.5</v>
      </c>
    </row>
    <row r="528" spans="2:27" s="2" customFormat="1" ht="12.9" customHeight="1">
      <c r="B528" s="29" t="s">
        <v>49</v>
      </c>
      <c r="C528" s="16">
        <f t="shared" si="249"/>
        <v>0</v>
      </c>
      <c r="E528" s="29" t="s">
        <v>49</v>
      </c>
      <c r="F528" s="25"/>
      <c r="G528" s="23"/>
      <c r="H528" s="23"/>
      <c r="I528" s="23"/>
      <c r="J528" s="23"/>
      <c r="K528" s="23"/>
      <c r="L528" s="23"/>
      <c r="M528" s="23"/>
      <c r="N528" s="23"/>
    </row>
    <row r="529" spans="2:14" s="2" customFormat="1" ht="12.9" customHeight="1">
      <c r="B529" s="29" t="s">
        <v>98</v>
      </c>
      <c r="C529" s="16">
        <f t="shared" si="249"/>
        <v>0</v>
      </c>
      <c r="E529" s="29" t="s">
        <v>98</v>
      </c>
      <c r="F529" s="23"/>
      <c r="G529" s="23"/>
      <c r="H529" s="23"/>
      <c r="I529" s="23"/>
      <c r="J529" s="23">
        <f>+I529</f>
        <v>0</v>
      </c>
      <c r="K529" s="23">
        <f t="shared" ref="K529:N535" si="253">+J529</f>
        <v>0</v>
      </c>
      <c r="L529" s="23">
        <f t="shared" si="253"/>
        <v>0</v>
      </c>
      <c r="M529" s="23">
        <f t="shared" si="253"/>
        <v>0</v>
      </c>
      <c r="N529" s="23">
        <f t="shared" si="253"/>
        <v>0</v>
      </c>
    </row>
    <row r="530" spans="2:14" s="2" customFormat="1" ht="12.9" customHeight="1">
      <c r="B530" s="29" t="s">
        <v>52</v>
      </c>
      <c r="C530" s="16">
        <f t="shared" si="249"/>
        <v>126.47</v>
      </c>
      <c r="E530" s="29" t="s">
        <v>52</v>
      </c>
      <c r="F530" s="27">
        <v>126.47</v>
      </c>
      <c r="G530" s="23">
        <f t="shared" ref="G530:I535" si="254">+F530</f>
        <v>126.47</v>
      </c>
      <c r="H530" s="23">
        <f t="shared" si="254"/>
        <v>126.47</v>
      </c>
      <c r="I530" s="23">
        <f t="shared" si="254"/>
        <v>126.47</v>
      </c>
      <c r="J530" s="23">
        <f t="shared" ref="J530:J535" si="255">+I530</f>
        <v>126.47</v>
      </c>
      <c r="K530" s="23">
        <f t="shared" si="253"/>
        <v>126.47</v>
      </c>
      <c r="L530" s="23">
        <f t="shared" si="253"/>
        <v>126.47</v>
      </c>
      <c r="M530" s="23">
        <f t="shared" si="253"/>
        <v>126.47</v>
      </c>
      <c r="N530" s="23">
        <f t="shared" si="253"/>
        <v>126.47</v>
      </c>
    </row>
    <row r="531" spans="2:14" s="2" customFormat="1" ht="12.9" customHeight="1">
      <c r="B531" s="29" t="s">
        <v>54</v>
      </c>
      <c r="C531" s="16">
        <f t="shared" si="249"/>
        <v>133.97</v>
      </c>
      <c r="E531" s="29" t="s">
        <v>54</v>
      </c>
      <c r="F531" s="27">
        <v>133.97</v>
      </c>
      <c r="G531" s="23">
        <f t="shared" si="254"/>
        <v>133.97</v>
      </c>
      <c r="H531" s="23">
        <f t="shared" si="254"/>
        <v>133.97</v>
      </c>
      <c r="I531" s="23">
        <f t="shared" si="254"/>
        <v>133.97</v>
      </c>
      <c r="J531" s="23">
        <f t="shared" si="255"/>
        <v>133.97</v>
      </c>
      <c r="K531" s="23">
        <f t="shared" si="253"/>
        <v>133.97</v>
      </c>
      <c r="L531" s="23">
        <f t="shared" si="253"/>
        <v>133.97</v>
      </c>
      <c r="M531" s="23">
        <f t="shared" si="253"/>
        <v>133.97</v>
      </c>
      <c r="N531" s="23">
        <f t="shared" si="253"/>
        <v>133.97</v>
      </c>
    </row>
    <row r="532" spans="2:14" s="2" customFormat="1" ht="12.9" customHeight="1">
      <c r="B532" s="29" t="s">
        <v>56</v>
      </c>
      <c r="C532" s="16">
        <f t="shared" si="249"/>
        <v>153.24</v>
      </c>
      <c r="E532" s="29" t="s">
        <v>56</v>
      </c>
      <c r="F532" s="27">
        <v>153.24</v>
      </c>
      <c r="G532" s="23">
        <f t="shared" si="254"/>
        <v>153.24</v>
      </c>
      <c r="H532" s="23">
        <f t="shared" si="254"/>
        <v>153.24</v>
      </c>
      <c r="I532" s="23">
        <f t="shared" si="254"/>
        <v>153.24</v>
      </c>
      <c r="J532" s="23">
        <f t="shared" si="255"/>
        <v>153.24</v>
      </c>
      <c r="K532" s="23">
        <f t="shared" si="253"/>
        <v>153.24</v>
      </c>
      <c r="L532" s="23">
        <f t="shared" si="253"/>
        <v>153.24</v>
      </c>
      <c r="M532" s="23">
        <f t="shared" si="253"/>
        <v>153.24</v>
      </c>
      <c r="N532" s="23">
        <f t="shared" si="253"/>
        <v>153.24</v>
      </c>
    </row>
    <row r="533" spans="2:14" s="2" customFormat="1" ht="12.9" customHeight="1">
      <c r="B533" s="29" t="s">
        <v>58</v>
      </c>
      <c r="C533" s="16">
        <f t="shared" si="249"/>
        <v>166.8</v>
      </c>
      <c r="E533" s="29" t="s">
        <v>58</v>
      </c>
      <c r="F533" s="27">
        <v>166.8</v>
      </c>
      <c r="G533" s="23">
        <f t="shared" si="254"/>
        <v>166.8</v>
      </c>
      <c r="H533" s="23">
        <f t="shared" si="254"/>
        <v>166.8</v>
      </c>
      <c r="I533" s="23">
        <f t="shared" si="254"/>
        <v>166.8</v>
      </c>
      <c r="J533" s="23">
        <f t="shared" si="255"/>
        <v>166.8</v>
      </c>
      <c r="K533" s="23">
        <f t="shared" si="253"/>
        <v>166.8</v>
      </c>
      <c r="L533" s="23">
        <f t="shared" si="253"/>
        <v>166.8</v>
      </c>
      <c r="M533" s="23">
        <f t="shared" si="253"/>
        <v>166.8</v>
      </c>
      <c r="N533" s="23">
        <f t="shared" si="253"/>
        <v>166.8</v>
      </c>
    </row>
    <row r="534" spans="2:14" s="2" customFormat="1" ht="12.9" customHeight="1">
      <c r="B534" s="29" t="s">
        <v>60</v>
      </c>
      <c r="C534" s="16">
        <f t="shared" si="249"/>
        <v>96.97</v>
      </c>
      <c r="E534" s="29" t="s">
        <v>60</v>
      </c>
      <c r="F534" s="27">
        <v>96.97</v>
      </c>
      <c r="G534" s="23">
        <f t="shared" si="254"/>
        <v>96.97</v>
      </c>
      <c r="H534" s="23">
        <f t="shared" si="254"/>
        <v>96.97</v>
      </c>
      <c r="I534" s="23">
        <f t="shared" si="254"/>
        <v>96.97</v>
      </c>
      <c r="J534" s="23">
        <f t="shared" si="255"/>
        <v>96.97</v>
      </c>
      <c r="K534" s="23">
        <f t="shared" si="253"/>
        <v>96.97</v>
      </c>
      <c r="L534" s="23">
        <f t="shared" si="253"/>
        <v>96.97</v>
      </c>
      <c r="M534" s="23">
        <f t="shared" si="253"/>
        <v>96.97</v>
      </c>
      <c r="N534" s="23">
        <f t="shared" si="253"/>
        <v>96.97</v>
      </c>
    </row>
    <row r="535" spans="2:14" s="2" customFormat="1" ht="12.9" customHeight="1">
      <c r="B535" s="29" t="s">
        <v>103</v>
      </c>
      <c r="C535" s="16">
        <f t="shared" si="249"/>
        <v>0</v>
      </c>
      <c r="E535" s="29" t="s">
        <v>103</v>
      </c>
      <c r="F535" s="32"/>
      <c r="G535" s="23">
        <f t="shared" si="254"/>
        <v>0</v>
      </c>
      <c r="H535" s="23">
        <f t="shared" si="254"/>
        <v>0</v>
      </c>
      <c r="I535" s="23">
        <f t="shared" si="254"/>
        <v>0</v>
      </c>
      <c r="J535" s="23">
        <f t="shared" si="255"/>
        <v>0</v>
      </c>
      <c r="K535" s="23">
        <f t="shared" si="253"/>
        <v>0</v>
      </c>
      <c r="L535" s="23">
        <f t="shared" si="253"/>
        <v>0</v>
      </c>
      <c r="M535" s="23">
        <f t="shared" si="253"/>
        <v>0</v>
      </c>
      <c r="N535" s="23">
        <f t="shared" si="253"/>
        <v>0</v>
      </c>
    </row>
    <row r="536" spans="2:14" s="2" customFormat="1" ht="12.9" customHeight="1">
      <c r="B536" s="29" t="s">
        <v>19</v>
      </c>
      <c r="C536" s="16">
        <f t="shared" si="249"/>
        <v>483.99</v>
      </c>
      <c r="E536" s="29" t="s">
        <v>19</v>
      </c>
      <c r="F536" s="30">
        <f>IF($C$1=F519,'Nómina mensual'!$Q$29,0)</f>
        <v>0</v>
      </c>
      <c r="G536" s="30">
        <f>IF($C$1=G519,'Nómina mensual'!$Q$29,0)</f>
        <v>0</v>
      </c>
      <c r="H536" s="30">
        <f>IF($C$1=H519,'Nómina mensual'!$Q$29,0)</f>
        <v>0</v>
      </c>
      <c r="I536" s="30">
        <f>IF($C$1=I519,'Nómina mensual'!$Q$29,0)</f>
        <v>483.99</v>
      </c>
      <c r="J536" s="30">
        <f>IF($C$1=J519,'Nómina mensual'!$Q$29,0)</f>
        <v>0</v>
      </c>
      <c r="K536" s="30">
        <f>IF($C$1=K519,'Nómina mensual'!$Q$29,0)</f>
        <v>0</v>
      </c>
      <c r="L536" s="30">
        <f>IF($C$1=L519,'Nómina mensual'!$Q$29,0)</f>
        <v>0</v>
      </c>
      <c r="M536" s="30">
        <f>IF($C$1=M519,'Nómina mensual'!$Q$29,0)</f>
        <v>0</v>
      </c>
      <c r="N536" s="23"/>
    </row>
    <row r="537" spans="2:14" s="2" customFormat="1" ht="12.9" customHeight="1">
      <c r="B537" s="31" t="s">
        <v>104</v>
      </c>
      <c r="C537" s="16">
        <f t="shared" si="249"/>
        <v>0</v>
      </c>
      <c r="E537" s="31" t="s">
        <v>104</v>
      </c>
      <c r="F537" s="23"/>
      <c r="G537" s="23"/>
      <c r="H537" s="23"/>
      <c r="I537" s="23"/>
      <c r="J537" s="23"/>
      <c r="K537" s="23"/>
      <c r="L537" s="23"/>
      <c r="M537" s="23"/>
      <c r="N537" s="23"/>
    </row>
    <row r="538" spans="2:14" s="2" customFormat="1" ht="12.9" customHeight="1">
      <c r="B538" s="31" t="s">
        <v>106</v>
      </c>
      <c r="C538" s="16">
        <f t="shared" si="249"/>
        <v>0</v>
      </c>
      <c r="E538" s="31" t="s">
        <v>106</v>
      </c>
      <c r="F538" s="23"/>
      <c r="G538" s="23"/>
      <c r="H538" s="23"/>
      <c r="I538" s="23"/>
      <c r="J538" s="23"/>
      <c r="K538" s="23"/>
      <c r="L538" s="23"/>
      <c r="M538" s="23"/>
      <c r="N538" s="23"/>
    </row>
    <row r="539" spans="2:14" s="2" customFormat="1" ht="12.9" customHeight="1">
      <c r="B539" s="31" t="s">
        <v>108</v>
      </c>
      <c r="C539" s="16">
        <f t="shared" si="249"/>
        <v>0</v>
      </c>
      <c r="E539" s="31" t="s">
        <v>108</v>
      </c>
      <c r="F539" s="23"/>
      <c r="G539" s="23"/>
      <c r="H539" s="23"/>
      <c r="I539" s="23"/>
      <c r="J539" s="23"/>
      <c r="K539" s="23"/>
      <c r="L539" s="23"/>
      <c r="M539" s="23"/>
      <c r="N539" s="23"/>
    </row>
    <row r="540" spans="2:14" s="2" customFormat="1" ht="12.9" customHeight="1">
      <c r="B540" s="33" t="s">
        <v>109</v>
      </c>
      <c r="C540" s="16">
        <f t="shared" si="249"/>
        <v>0</v>
      </c>
      <c r="E540" s="33" t="s">
        <v>109</v>
      </c>
      <c r="F540" s="23">
        <f>G526-F526</f>
        <v>137.03</v>
      </c>
      <c r="G540" s="23"/>
      <c r="H540" s="23"/>
      <c r="I540" s="23"/>
      <c r="J540" s="23"/>
      <c r="K540" s="23"/>
      <c r="L540" s="23"/>
      <c r="M540" s="23"/>
      <c r="N540" s="23"/>
    </row>
    <row r="541" spans="2:14" s="2" customFormat="1" ht="12.9" customHeight="1">
      <c r="B541" s="34" t="s">
        <v>141</v>
      </c>
      <c r="C541" s="16">
        <f t="shared" si="249"/>
        <v>0</v>
      </c>
      <c r="E541" s="34" t="s">
        <v>141</v>
      </c>
      <c r="F541" s="23"/>
      <c r="G541" s="23"/>
      <c r="H541" s="23"/>
      <c r="I541" s="23"/>
      <c r="J541" s="23"/>
      <c r="K541" s="23"/>
      <c r="L541" s="23"/>
      <c r="M541" s="23"/>
      <c r="N541" s="23"/>
    </row>
    <row r="542" spans="2:14" s="2" customFormat="1" ht="12.9" customHeight="1">
      <c r="B542" s="34" t="s">
        <v>113</v>
      </c>
      <c r="C542" s="16">
        <f t="shared" si="249"/>
        <v>0</v>
      </c>
      <c r="E542" s="34" t="s">
        <v>113</v>
      </c>
      <c r="F542" s="23"/>
      <c r="G542" s="23"/>
      <c r="H542" s="23"/>
      <c r="I542" s="23"/>
      <c r="J542" s="23"/>
      <c r="K542" s="23"/>
      <c r="L542" s="23"/>
      <c r="M542" s="23"/>
      <c r="N542" s="23"/>
    </row>
    <row r="543" spans="2:14" s="2" customFormat="1" ht="12.9" customHeight="1">
      <c r="B543" s="34" t="s">
        <v>115</v>
      </c>
      <c r="C543" s="16">
        <f t="shared" si="249"/>
        <v>0</v>
      </c>
      <c r="E543" s="34" t="s">
        <v>115</v>
      </c>
      <c r="F543" s="23"/>
      <c r="G543" s="23"/>
      <c r="H543" s="23"/>
      <c r="I543" s="23"/>
      <c r="J543" s="23"/>
      <c r="K543" s="23"/>
      <c r="L543" s="23"/>
      <c r="M543" s="23"/>
      <c r="N543" s="23"/>
    </row>
    <row r="544" spans="2:14" s="2" customFormat="1" ht="12.9" customHeight="1">
      <c r="B544" s="35" t="s">
        <v>117</v>
      </c>
      <c r="C544" s="16">
        <f t="shared" si="249"/>
        <v>0</v>
      </c>
      <c r="E544" s="35" t="s">
        <v>117</v>
      </c>
      <c r="F544" s="23"/>
      <c r="G544" s="23"/>
      <c r="H544" s="23"/>
      <c r="I544" s="23"/>
      <c r="J544" s="23"/>
      <c r="K544" s="23"/>
      <c r="L544" s="23"/>
      <c r="M544" s="23"/>
      <c r="N544" s="23"/>
    </row>
    <row r="545" spans="2:27" s="2" customFormat="1" ht="12.9" customHeight="1">
      <c r="B545" s="39" t="s">
        <v>119</v>
      </c>
      <c r="C545" s="16">
        <f t="shared" si="249"/>
        <v>-51.68</v>
      </c>
      <c r="E545" s="39" t="s">
        <v>119</v>
      </c>
      <c r="F545" s="50">
        <f>+F77</f>
        <v>-40.68</v>
      </c>
      <c r="G545" s="50">
        <f t="shared" ref="G545:N545" si="256">+G77</f>
        <v>-40.68</v>
      </c>
      <c r="H545" s="50">
        <f t="shared" si="256"/>
        <v>-40.68</v>
      </c>
      <c r="I545" s="50">
        <f t="shared" si="256"/>
        <v>-51.68</v>
      </c>
      <c r="J545" s="50">
        <f t="shared" si="256"/>
        <v>-51.68</v>
      </c>
      <c r="K545" s="50">
        <f t="shared" si="256"/>
        <v>-51.68</v>
      </c>
      <c r="L545" s="50">
        <f t="shared" si="256"/>
        <v>-51.68</v>
      </c>
      <c r="M545" s="50">
        <f t="shared" si="256"/>
        <v>-51.68</v>
      </c>
      <c r="N545" s="50">
        <f t="shared" si="256"/>
        <v>-51.68</v>
      </c>
    </row>
    <row r="546" spans="2:27" s="2" customFormat="1" ht="12.9" customHeight="1">
      <c r="B546" s="39" t="s">
        <v>121</v>
      </c>
      <c r="C546" s="16">
        <f t="shared" si="249"/>
        <v>118.04</v>
      </c>
      <c r="E546" s="39" t="s">
        <v>121</v>
      </c>
      <c r="F546" s="50">
        <f>+F78</f>
        <v>-92.9</v>
      </c>
      <c r="G546" s="50">
        <f t="shared" ref="G546:N546" si="257">+G78</f>
        <v>-92.9</v>
      </c>
      <c r="H546" s="50">
        <f t="shared" si="257"/>
        <v>-92.9</v>
      </c>
      <c r="I546" s="50">
        <f t="shared" si="257"/>
        <v>118.04</v>
      </c>
      <c r="J546" s="50">
        <f t="shared" si="257"/>
        <v>118.04</v>
      </c>
      <c r="K546" s="50">
        <f t="shared" si="257"/>
        <v>118.04</v>
      </c>
      <c r="L546" s="50">
        <f t="shared" si="257"/>
        <v>118.04</v>
      </c>
      <c r="M546" s="50">
        <f t="shared" si="257"/>
        <v>118.04</v>
      </c>
      <c r="N546" s="50">
        <f t="shared" si="257"/>
        <v>118.04</v>
      </c>
    </row>
    <row r="547" spans="2:27">
      <c r="B547" s="41" t="s">
        <v>80</v>
      </c>
      <c r="C547" s="16">
        <f t="shared" si="249"/>
        <v>46283.399999999994</v>
      </c>
      <c r="E547" s="42" t="s">
        <v>80</v>
      </c>
      <c r="F547" s="3">
        <f>((+F522+F526+F527+F528)*12)+(F524*INT($C$3/3)*12)+((F523+F526)*2)+((F527+F528)*2)+(F536*14)+(F525*INT($C$3/3)*2)+(IF($C$4="s",F540,0))+(((IF(INT($C$3/3)&lt;6,F529,0))+(IF(AND(INT($C$3/6)&gt;0,INT($C$3/6)&lt;2),F530,0))+(IF(AND(INT($C$3/6)&gt;1,INT($C$3/6)&lt;3),F530+F531,0))+(IF(AND(INT($C$3/6)&gt;2,INT($C$3/6)&lt;4),F530+F531+F532,0))+(IF(AND(INT($C$3/6)&gt;3,INT($C$3/6)&lt;5),F530+F531+F532+F533,0))+(IF(INT($C$3/6)&gt;4,F530+F531+F532+F533+F534,0)))*12)+(IF($C$7="s",F535*12,0))++(((IF(INT($C$3/3)&lt;6,F529,0))+(IF(AND(INT($C$3/6)&gt;0,INT($C$3/6)&lt;2),F530,0))+(IF(AND(INT($C$3/6)&gt;1,INT($C$3/6)&lt;3),F530+F531,0))+(IF(AND(INT($C$3/6)&gt;2,INT($C$3/6)&lt;4),F530+F531+F532,0))+(IF(AND(INT($C$3/6)&gt;3,INT($C$3/6)&lt;5),F530+F531+F532+F533,0))+(IF(INT($C$3/6)&gt;4,F530+F531+F532+F533+F534,0)))*2)+(F541*12)+(F542*2)</f>
        <v>35189.98000000001</v>
      </c>
      <c r="G547" s="3">
        <f t="shared" ref="G547:N547" si="258">((+G522+G526+G527+G528)*12)+(G524*INT($C$3/3)*12)+((G523+G526)*2)+((G527+G528)*2)+(G536*14)+(G525*INT($C$3/3)*2)+(IF($C$4="s",G540,0))+(((IF(INT($C$3/3)&lt;6,G529,0))+(IF(AND(INT($C$3/6)&gt;0,INT($C$3/6)&lt;2),G530,0))+(IF(AND(INT($C$3/6)&gt;1,INT($C$3/6)&lt;3),G530+G531,0))+(IF(AND(INT($C$3/6)&gt;2,INT($C$3/6)&lt;4),G530+G531+G532,0))+(IF(AND(INT($C$3/6)&gt;3,INT($C$3/6)&lt;5),G530+G531+G532+G533,0))+(IF(INT($C$3/6)&gt;4,G530+G531+G532+G533+G534,0)))*12)+(IF($C$7="s",G535*12,0))++(((IF(INT($C$3/3)&lt;6,G529,0))+(IF(AND(INT($C$3/6)&gt;0,INT($C$3/6)&lt;2),G530,0))+(IF(AND(INT($C$3/6)&gt;1,INT($C$3/6)&lt;3),G530+G531,0))+(IF(AND(INT($C$3/6)&gt;2,INT($C$3/6)&lt;4),G530+G531+G532,0))+(IF(AND(INT($C$3/6)&gt;3,INT($C$3/6)&lt;5),G530+G531+G532+G533,0))+(IF(INT($C$3/6)&gt;4,G530+G531+G532+G533+G534,0)))*2)+(G541*12)+(G542*2)</f>
        <v>37130.800000000003</v>
      </c>
      <c r="H547" s="3">
        <f t="shared" si="258"/>
        <v>37130.800000000003</v>
      </c>
      <c r="I547" s="3">
        <f t="shared" si="258"/>
        <v>46283.399999999994</v>
      </c>
      <c r="J547" s="3">
        <f t="shared" si="258"/>
        <v>39507.539999999994</v>
      </c>
      <c r="K547" s="3">
        <f t="shared" si="258"/>
        <v>39507.539999999994</v>
      </c>
      <c r="L547" s="3">
        <f t="shared" si="258"/>
        <v>39507.539999999994</v>
      </c>
      <c r="M547" s="3">
        <f t="shared" si="258"/>
        <v>42426.400000000001</v>
      </c>
      <c r="N547" s="3">
        <f t="shared" si="258"/>
        <v>53503.9</v>
      </c>
    </row>
    <row r="554" spans="2:27" s="2" customFormat="1" ht="12.9" customHeight="1">
      <c r="B554" s="9"/>
      <c r="C554" s="2" t="str">
        <f>+E555</f>
        <v>Ceuta y Melilla</v>
      </c>
    </row>
    <row r="555" spans="2:27" s="2" customFormat="1" ht="35.25" customHeight="1">
      <c r="C555" s="10" t="str">
        <f>+$C$11</f>
        <v>590-Profesores Enseñanza Secundaria</v>
      </c>
      <c r="E555" s="11" t="s">
        <v>40</v>
      </c>
      <c r="F555" s="12" t="s">
        <v>120</v>
      </c>
      <c r="G555" s="12" t="s">
        <v>110</v>
      </c>
      <c r="H555" s="12" t="s">
        <v>118</v>
      </c>
      <c r="I555" s="12" t="s">
        <v>4</v>
      </c>
      <c r="J555" s="12" t="s">
        <v>112</v>
      </c>
      <c r="K555" s="12" t="s">
        <v>114</v>
      </c>
      <c r="L555" s="12" t="s">
        <v>116</v>
      </c>
      <c r="M555" s="12" t="s">
        <v>107</v>
      </c>
      <c r="N555" s="12" t="s">
        <v>105</v>
      </c>
      <c r="O555" s="13" t="s">
        <v>283</v>
      </c>
      <c r="Q555" s="14" t="s">
        <v>137</v>
      </c>
      <c r="R555" s="14"/>
      <c r="S555" s="60"/>
      <c r="T555" s="60"/>
      <c r="U555" s="60"/>
      <c r="V555" s="60"/>
      <c r="W555" s="14" t="s">
        <v>138</v>
      </c>
      <c r="X555" s="60"/>
      <c r="Y555" s="60"/>
      <c r="Z555" s="47"/>
      <c r="AA555" s="47"/>
    </row>
    <row r="556" spans="2:27" s="2" customFormat="1" ht="12.9" customHeight="1">
      <c r="B556" s="44" t="s">
        <v>91</v>
      </c>
      <c r="C556" s="16" t="str">
        <f t="shared" ref="C556:C583" si="259">IF($C$11=$F$11,F556,IF($C$11=G$11,G556,IF($C$11=H$11,H556,IF($C$11=I$11,I556,IF($C$11=J$11,J556,IF($C$11=K$11,K556,IF($C$11=L$11,L556,IF($C$11=M$11,M556,N556))))))))</f>
        <v>A1</v>
      </c>
      <c r="E556" s="45" t="s">
        <v>91</v>
      </c>
      <c r="F556" s="17" t="s">
        <v>137</v>
      </c>
      <c r="G556" s="17" t="s">
        <v>137</v>
      </c>
      <c r="H556" s="17" t="s">
        <v>137</v>
      </c>
      <c r="I556" s="17" t="s">
        <v>138</v>
      </c>
      <c r="J556" s="17" t="s">
        <v>138</v>
      </c>
      <c r="K556" s="17" t="s">
        <v>138</v>
      </c>
      <c r="L556" s="17" t="s">
        <v>138</v>
      </c>
      <c r="M556" s="17" t="s">
        <v>138</v>
      </c>
      <c r="N556" s="17" t="s">
        <v>138</v>
      </c>
      <c r="O556" s="13" t="s">
        <v>284</v>
      </c>
      <c r="Q556" s="47"/>
      <c r="R556" s="47" t="s">
        <v>20</v>
      </c>
      <c r="S556" s="47" t="s">
        <v>123</v>
      </c>
      <c r="T556" s="47" t="s">
        <v>126</v>
      </c>
      <c r="U556" s="47" t="s">
        <v>129</v>
      </c>
      <c r="V556" s="47" t="s">
        <v>130</v>
      </c>
      <c r="W556" s="47" t="s">
        <v>20</v>
      </c>
      <c r="X556" s="47" t="s">
        <v>123</v>
      </c>
      <c r="Y556" s="47" t="s">
        <v>126</v>
      </c>
      <c r="Z556" s="47" t="s">
        <v>129</v>
      </c>
      <c r="AA556" s="47" t="s">
        <v>130</v>
      </c>
    </row>
    <row r="557" spans="2:27" s="2" customFormat="1" ht="12.9" customHeight="1">
      <c r="B557" s="44" t="str">
        <f>+E557</f>
        <v>Nivel</v>
      </c>
      <c r="C557" s="16">
        <f t="shared" si="259"/>
        <v>24</v>
      </c>
      <c r="E557" s="45" t="s">
        <v>144</v>
      </c>
      <c r="F557" s="17">
        <v>21</v>
      </c>
      <c r="G557" s="17">
        <v>24</v>
      </c>
      <c r="H557" s="17">
        <v>24</v>
      </c>
      <c r="I557" s="17">
        <v>24</v>
      </c>
      <c r="J557" s="17">
        <v>24</v>
      </c>
      <c r="K557" s="17">
        <v>24</v>
      </c>
      <c r="L557" s="17">
        <v>24</v>
      </c>
      <c r="M557" s="17">
        <v>26</v>
      </c>
      <c r="N557" s="17">
        <v>26</v>
      </c>
      <c r="Q557" s="47" t="s">
        <v>124</v>
      </c>
      <c r="R557" s="47">
        <v>0</v>
      </c>
      <c r="S557" s="19">
        <v>616.04999999999995</v>
      </c>
      <c r="T557" s="19"/>
      <c r="U557" s="19">
        <v>214.39</v>
      </c>
      <c r="V557" s="19">
        <f>U557</f>
        <v>214.39</v>
      </c>
      <c r="W557" s="47">
        <v>0</v>
      </c>
      <c r="X557" s="19">
        <v>751.7</v>
      </c>
      <c r="Y557" s="19"/>
      <c r="Z557" s="19">
        <v>330.72</v>
      </c>
      <c r="AA557" s="19">
        <f>Z557</f>
        <v>330.72</v>
      </c>
    </row>
    <row r="558" spans="2:27" s="2" customFormat="1" ht="12.9" customHeight="1">
      <c r="B558" s="22" t="s">
        <v>43</v>
      </c>
      <c r="C558" s="16">
        <f t="shared" si="259"/>
        <v>1387.24</v>
      </c>
      <c r="E558" s="22" t="s">
        <v>43</v>
      </c>
      <c r="F558" s="23">
        <f t="shared" ref="F558:I561" si="260">+F522</f>
        <v>1199.52</v>
      </c>
      <c r="G558" s="23">
        <f t="shared" si="260"/>
        <v>1199.52</v>
      </c>
      <c r="H558" s="23">
        <f t="shared" si="260"/>
        <v>1199.52</v>
      </c>
      <c r="I558" s="23">
        <f t="shared" si="260"/>
        <v>1387.24</v>
      </c>
      <c r="J558" s="23">
        <f t="shared" ref="J558:N561" si="261">+I558</f>
        <v>1387.24</v>
      </c>
      <c r="K558" s="23">
        <f t="shared" si="261"/>
        <v>1387.24</v>
      </c>
      <c r="L558" s="23">
        <f t="shared" si="261"/>
        <v>1387.24</v>
      </c>
      <c r="M558" s="23">
        <f t="shared" si="261"/>
        <v>1387.24</v>
      </c>
      <c r="N558" s="23">
        <f t="shared" si="261"/>
        <v>1387.24</v>
      </c>
      <c r="Q558" s="47" t="s">
        <v>127</v>
      </c>
      <c r="R558" s="47">
        <v>0</v>
      </c>
      <c r="S558" s="19">
        <v>557.69000000000005</v>
      </c>
      <c r="T558" s="19"/>
      <c r="U558" s="19">
        <v>201.47</v>
      </c>
      <c r="V558" s="19">
        <f t="shared" ref="V558:V560" si="262">U558</f>
        <v>201.47</v>
      </c>
      <c r="W558" s="47">
        <v>0</v>
      </c>
      <c r="X558" s="19">
        <v>647.5</v>
      </c>
      <c r="Y558" s="19"/>
      <c r="Z558" s="19">
        <v>324.29000000000002</v>
      </c>
      <c r="AA558" s="19">
        <f t="shared" ref="AA558:AA560" si="263">Z558</f>
        <v>324.29000000000002</v>
      </c>
    </row>
    <row r="559" spans="2:27" s="2" customFormat="1" ht="12.9" customHeight="1">
      <c r="B559" s="22" t="s">
        <v>92</v>
      </c>
      <c r="C559" s="16">
        <f t="shared" si="259"/>
        <v>856.05</v>
      </c>
      <c r="E559" s="22" t="s">
        <v>92</v>
      </c>
      <c r="F559" s="25">
        <f t="shared" si="260"/>
        <v>874.83</v>
      </c>
      <c r="G559" s="25">
        <f t="shared" si="260"/>
        <v>874.83</v>
      </c>
      <c r="H559" s="25">
        <f t="shared" si="260"/>
        <v>874.83</v>
      </c>
      <c r="I559" s="25">
        <f t="shared" si="260"/>
        <v>856.05</v>
      </c>
      <c r="J559" s="23">
        <f t="shared" si="261"/>
        <v>856.05</v>
      </c>
      <c r="K559" s="23">
        <f t="shared" si="261"/>
        <v>856.05</v>
      </c>
      <c r="L559" s="23">
        <f t="shared" si="261"/>
        <v>856.05</v>
      </c>
      <c r="M559" s="23">
        <f t="shared" si="261"/>
        <v>856.05</v>
      </c>
      <c r="N559" s="23">
        <f t="shared" si="261"/>
        <v>856.05</v>
      </c>
      <c r="Q559" s="47" t="s">
        <v>22</v>
      </c>
      <c r="R559" s="47">
        <v>0</v>
      </c>
      <c r="S559" s="19">
        <v>403.61</v>
      </c>
      <c r="T559" s="19"/>
      <c r="U559" s="19">
        <v>194.99</v>
      </c>
      <c r="V559" s="19">
        <f t="shared" si="262"/>
        <v>194.99</v>
      </c>
      <c r="W559" s="47">
        <v>0</v>
      </c>
      <c r="X559" s="19">
        <v>586.14</v>
      </c>
      <c r="Y559" s="19"/>
      <c r="Z559" s="19">
        <v>233.78</v>
      </c>
      <c r="AA559" s="19">
        <f t="shared" si="263"/>
        <v>233.78</v>
      </c>
    </row>
    <row r="560" spans="2:27" s="2" customFormat="1" ht="12.9" customHeight="1">
      <c r="B560" s="22" t="s">
        <v>93</v>
      </c>
      <c r="C560" s="16">
        <f t="shared" si="259"/>
        <v>53.39</v>
      </c>
      <c r="E560" s="22" t="s">
        <v>93</v>
      </c>
      <c r="F560" s="23">
        <f t="shared" si="260"/>
        <v>43.54</v>
      </c>
      <c r="G560" s="23">
        <f t="shared" si="260"/>
        <v>43.54</v>
      </c>
      <c r="H560" s="23">
        <f t="shared" si="260"/>
        <v>43.54</v>
      </c>
      <c r="I560" s="23">
        <f t="shared" si="260"/>
        <v>53.39</v>
      </c>
      <c r="J560" s="23">
        <f t="shared" si="261"/>
        <v>53.39</v>
      </c>
      <c r="K560" s="23">
        <f t="shared" si="261"/>
        <v>53.39</v>
      </c>
      <c r="L560" s="23">
        <f t="shared" si="261"/>
        <v>53.39</v>
      </c>
      <c r="M560" s="23">
        <f t="shared" si="261"/>
        <v>53.39</v>
      </c>
      <c r="N560" s="23">
        <f t="shared" si="261"/>
        <v>53.39</v>
      </c>
      <c r="Q560" s="47" t="s">
        <v>131</v>
      </c>
      <c r="R560" s="47">
        <v>0</v>
      </c>
      <c r="S560" s="19">
        <v>298.43</v>
      </c>
      <c r="T560" s="19"/>
      <c r="U560" s="19">
        <v>143.26</v>
      </c>
      <c r="V560" s="19">
        <f t="shared" si="262"/>
        <v>143.26</v>
      </c>
      <c r="W560" s="47">
        <v>0</v>
      </c>
      <c r="X560" s="19">
        <v>530.61</v>
      </c>
      <c r="Y560" s="19"/>
      <c r="Z560" s="19">
        <v>201.47</v>
      </c>
      <c r="AA560" s="19">
        <f t="shared" si="263"/>
        <v>201.47</v>
      </c>
    </row>
    <row r="561" spans="2:28" s="2" customFormat="1" ht="12.9" customHeight="1">
      <c r="B561" s="22" t="s">
        <v>95</v>
      </c>
      <c r="C561" s="16">
        <f t="shared" si="259"/>
        <v>32.96</v>
      </c>
      <c r="E561" s="22" t="s">
        <v>95</v>
      </c>
      <c r="F561" s="25">
        <f t="shared" si="260"/>
        <v>31.74</v>
      </c>
      <c r="G561" s="25">
        <f t="shared" si="260"/>
        <v>31.74</v>
      </c>
      <c r="H561" s="25">
        <f t="shared" si="260"/>
        <v>31.74</v>
      </c>
      <c r="I561" s="25">
        <f t="shared" si="260"/>
        <v>32.96</v>
      </c>
      <c r="J561" s="23">
        <f t="shared" si="261"/>
        <v>32.96</v>
      </c>
      <c r="K561" s="23">
        <f t="shared" si="261"/>
        <v>32.96</v>
      </c>
      <c r="L561" s="23">
        <f t="shared" si="261"/>
        <v>32.96</v>
      </c>
      <c r="M561" s="23">
        <f t="shared" si="261"/>
        <v>32.96</v>
      </c>
      <c r="N561" s="23">
        <f t="shared" si="261"/>
        <v>32.96</v>
      </c>
      <c r="O561" s="2" t="s">
        <v>285</v>
      </c>
      <c r="Q561" s="47" t="s">
        <v>133</v>
      </c>
      <c r="R561" s="47">
        <v>0</v>
      </c>
      <c r="S561" s="19"/>
      <c r="T561" s="26"/>
      <c r="U561" s="26"/>
      <c r="V561" s="19"/>
      <c r="W561" s="47">
        <v>0</v>
      </c>
      <c r="X561" s="26"/>
      <c r="Y561" s="26"/>
      <c r="Z561" s="19"/>
      <c r="AA561" s="26"/>
    </row>
    <row r="562" spans="2:28" s="2" customFormat="1" ht="12.9" customHeight="1">
      <c r="B562" s="22" t="s">
        <v>46</v>
      </c>
      <c r="C562" s="16">
        <f t="shared" si="259"/>
        <v>729.14</v>
      </c>
      <c r="E562" s="22" t="s">
        <v>46</v>
      </c>
      <c r="F562" s="23">
        <f>+F526</f>
        <v>592.11</v>
      </c>
      <c r="G562" s="23">
        <f>+G526</f>
        <v>729.14</v>
      </c>
      <c r="H562" s="23">
        <f t="shared" ref="H562:N562" si="264">+H526</f>
        <v>729.14</v>
      </c>
      <c r="I562" s="23">
        <f t="shared" si="264"/>
        <v>729.14</v>
      </c>
      <c r="J562" s="23">
        <f t="shared" si="264"/>
        <v>729.14</v>
      </c>
      <c r="K562" s="23">
        <f t="shared" si="264"/>
        <v>729.14</v>
      </c>
      <c r="L562" s="23">
        <f t="shared" si="264"/>
        <v>729.14</v>
      </c>
      <c r="M562" s="23">
        <f t="shared" si="264"/>
        <v>873.38</v>
      </c>
      <c r="N562" s="23">
        <f t="shared" si="264"/>
        <v>873.38</v>
      </c>
      <c r="O562" s="2" t="s">
        <v>286</v>
      </c>
      <c r="Q562" s="47" t="s">
        <v>134</v>
      </c>
      <c r="R562" s="47">
        <v>0</v>
      </c>
      <c r="S562" s="19"/>
      <c r="T562" s="26"/>
      <c r="U562" s="26"/>
      <c r="V562" s="26"/>
      <c r="W562" s="47">
        <v>0</v>
      </c>
      <c r="X562" s="26"/>
      <c r="Y562" s="26"/>
      <c r="Z562" s="19"/>
      <c r="AA562" s="26"/>
    </row>
    <row r="563" spans="2:28" s="2" customFormat="1" ht="12.9" customHeight="1">
      <c r="B563" s="22" t="s">
        <v>48</v>
      </c>
      <c r="C563" s="16">
        <f t="shared" si="259"/>
        <v>433.91</v>
      </c>
      <c r="E563" s="22" t="s">
        <v>48</v>
      </c>
      <c r="F563" s="27">
        <v>438.33</v>
      </c>
      <c r="G563" s="27">
        <v>436.57</v>
      </c>
      <c r="H563" s="23">
        <f>+G563</f>
        <v>436.57</v>
      </c>
      <c r="I563" s="27">
        <v>433.91</v>
      </c>
      <c r="J563" s="23">
        <f>+I563</f>
        <v>433.91</v>
      </c>
      <c r="K563" s="23">
        <f>+J563</f>
        <v>433.91</v>
      </c>
      <c r="L563" s="23">
        <f>+K563</f>
        <v>433.91</v>
      </c>
      <c r="M563" s="107">
        <v>440.72</v>
      </c>
      <c r="N563" s="23">
        <f>SUM(O563:AA563)</f>
        <v>1052.42</v>
      </c>
      <c r="O563" s="26">
        <v>507.58</v>
      </c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>
        <v>544.84</v>
      </c>
      <c r="AB563" s="2" t="s">
        <v>287</v>
      </c>
    </row>
    <row r="564" spans="2:28" s="2" customFormat="1" ht="12.9" customHeight="1">
      <c r="B564" s="29" t="s">
        <v>49</v>
      </c>
      <c r="C564" s="16">
        <f t="shared" si="259"/>
        <v>0</v>
      </c>
      <c r="E564" s="29" t="s">
        <v>49</v>
      </c>
      <c r="F564" s="23"/>
      <c r="G564" s="23"/>
      <c r="H564" s="23"/>
      <c r="I564" s="23"/>
      <c r="J564" s="23"/>
      <c r="K564" s="23"/>
      <c r="L564" s="23"/>
      <c r="M564" s="23"/>
      <c r="N564" s="23"/>
    </row>
    <row r="565" spans="2:28" s="2" customFormat="1" ht="12.9" customHeight="1">
      <c r="B565" s="29" t="s">
        <v>98</v>
      </c>
      <c r="C565" s="16">
        <f t="shared" si="259"/>
        <v>0</v>
      </c>
      <c r="E565" s="29" t="s">
        <v>98</v>
      </c>
      <c r="F565" s="23"/>
      <c r="G565" s="23"/>
      <c r="H565" s="23"/>
      <c r="I565" s="23"/>
      <c r="J565" s="23">
        <f>+I565</f>
        <v>0</v>
      </c>
      <c r="K565" s="23">
        <f t="shared" ref="K565:N571" si="265">+J565</f>
        <v>0</v>
      </c>
      <c r="L565" s="23">
        <f t="shared" si="265"/>
        <v>0</v>
      </c>
      <c r="M565" s="23">
        <f t="shared" si="265"/>
        <v>0</v>
      </c>
      <c r="N565" s="23">
        <f t="shared" si="265"/>
        <v>0</v>
      </c>
    </row>
    <row r="566" spans="2:28" s="2" customFormat="1" ht="12.9" customHeight="1">
      <c r="B566" s="29" t="s">
        <v>52</v>
      </c>
      <c r="C566" s="16">
        <f t="shared" si="259"/>
        <v>69.489999999999995</v>
      </c>
      <c r="E566" s="29" t="s">
        <v>52</v>
      </c>
      <c r="F566" s="27">
        <v>69.489999999999995</v>
      </c>
      <c r="G566" s="23">
        <f t="shared" ref="G566:I570" si="266">+F566</f>
        <v>69.489999999999995</v>
      </c>
      <c r="H566" s="23">
        <f t="shared" si="266"/>
        <v>69.489999999999995</v>
      </c>
      <c r="I566" s="23">
        <f t="shared" si="266"/>
        <v>69.489999999999995</v>
      </c>
      <c r="J566" s="23">
        <f t="shared" ref="J566:J571" si="267">+I566</f>
        <v>69.489999999999995</v>
      </c>
      <c r="K566" s="23">
        <f t="shared" si="265"/>
        <v>69.489999999999995</v>
      </c>
      <c r="L566" s="23">
        <f t="shared" si="265"/>
        <v>69.489999999999995</v>
      </c>
      <c r="M566" s="23">
        <f t="shared" si="265"/>
        <v>69.489999999999995</v>
      </c>
      <c r="N566" s="23">
        <f t="shared" si="265"/>
        <v>69.489999999999995</v>
      </c>
    </row>
    <row r="567" spans="2:28" s="2" customFormat="1" ht="12.9" customHeight="1">
      <c r="B567" s="29" t="s">
        <v>54</v>
      </c>
      <c r="C567" s="16">
        <f t="shared" si="259"/>
        <v>87.67</v>
      </c>
      <c r="E567" s="29" t="s">
        <v>54</v>
      </c>
      <c r="F567" s="27">
        <v>87.67</v>
      </c>
      <c r="G567" s="23">
        <f t="shared" si="266"/>
        <v>87.67</v>
      </c>
      <c r="H567" s="23">
        <f t="shared" si="266"/>
        <v>87.67</v>
      </c>
      <c r="I567" s="23">
        <f t="shared" si="266"/>
        <v>87.67</v>
      </c>
      <c r="J567" s="23">
        <f t="shared" si="267"/>
        <v>87.67</v>
      </c>
      <c r="K567" s="23">
        <f t="shared" si="265"/>
        <v>87.67</v>
      </c>
      <c r="L567" s="23">
        <f t="shared" si="265"/>
        <v>87.67</v>
      </c>
      <c r="M567" s="23">
        <f t="shared" si="265"/>
        <v>87.67</v>
      </c>
      <c r="N567" s="23">
        <f t="shared" si="265"/>
        <v>87.67</v>
      </c>
    </row>
    <row r="568" spans="2:28" s="2" customFormat="1" ht="12.9" customHeight="1">
      <c r="B568" s="29" t="s">
        <v>56</v>
      </c>
      <c r="C568" s="16">
        <f t="shared" si="259"/>
        <v>116.79</v>
      </c>
      <c r="E568" s="29" t="s">
        <v>56</v>
      </c>
      <c r="F568" s="27">
        <v>116.79</v>
      </c>
      <c r="G568" s="23">
        <f t="shared" si="266"/>
        <v>116.79</v>
      </c>
      <c r="H568" s="23">
        <f t="shared" si="266"/>
        <v>116.79</v>
      </c>
      <c r="I568" s="23">
        <f t="shared" si="266"/>
        <v>116.79</v>
      </c>
      <c r="J568" s="23">
        <f t="shared" si="267"/>
        <v>116.79</v>
      </c>
      <c r="K568" s="23">
        <f t="shared" si="265"/>
        <v>116.79</v>
      </c>
      <c r="L568" s="23">
        <f t="shared" si="265"/>
        <v>116.79</v>
      </c>
      <c r="M568" s="23">
        <f t="shared" si="265"/>
        <v>116.79</v>
      </c>
      <c r="N568" s="23">
        <f t="shared" si="265"/>
        <v>116.79</v>
      </c>
    </row>
    <row r="569" spans="2:28" s="2" customFormat="1" ht="12.9" customHeight="1">
      <c r="B569" s="29" t="s">
        <v>58</v>
      </c>
      <c r="C569" s="16">
        <f t="shared" si="259"/>
        <v>159.78</v>
      </c>
      <c r="E569" s="29" t="s">
        <v>58</v>
      </c>
      <c r="F569" s="27">
        <v>159.78</v>
      </c>
      <c r="G569" s="23">
        <f t="shared" si="266"/>
        <v>159.78</v>
      </c>
      <c r="H569" s="23">
        <f t="shared" si="266"/>
        <v>159.78</v>
      </c>
      <c r="I569" s="23">
        <f t="shared" si="266"/>
        <v>159.78</v>
      </c>
      <c r="J569" s="23">
        <f t="shared" si="267"/>
        <v>159.78</v>
      </c>
      <c r="K569" s="23">
        <f t="shared" si="265"/>
        <v>159.78</v>
      </c>
      <c r="L569" s="23">
        <f t="shared" si="265"/>
        <v>159.78</v>
      </c>
      <c r="M569" s="23">
        <f t="shared" si="265"/>
        <v>159.78</v>
      </c>
      <c r="N569" s="23">
        <f t="shared" si="265"/>
        <v>159.78</v>
      </c>
    </row>
    <row r="570" spans="2:28" s="2" customFormat="1" ht="12.9" customHeight="1">
      <c r="B570" s="29" t="s">
        <v>60</v>
      </c>
      <c r="C570" s="16">
        <f t="shared" si="259"/>
        <v>47.08</v>
      </c>
      <c r="E570" s="29" t="s">
        <v>60</v>
      </c>
      <c r="F570" s="27">
        <v>47.08</v>
      </c>
      <c r="G570" s="23">
        <f t="shared" si="266"/>
        <v>47.08</v>
      </c>
      <c r="H570" s="23">
        <f t="shared" si="266"/>
        <v>47.08</v>
      </c>
      <c r="I570" s="23">
        <f t="shared" si="266"/>
        <v>47.08</v>
      </c>
      <c r="J570" s="23">
        <f t="shared" si="267"/>
        <v>47.08</v>
      </c>
      <c r="K570" s="23">
        <f t="shared" si="265"/>
        <v>47.08</v>
      </c>
      <c r="L570" s="23">
        <f t="shared" si="265"/>
        <v>47.08</v>
      </c>
      <c r="M570" s="23">
        <f t="shared" si="265"/>
        <v>47.08</v>
      </c>
      <c r="N570" s="23">
        <f t="shared" si="265"/>
        <v>47.08</v>
      </c>
    </row>
    <row r="571" spans="2:28" s="2" customFormat="1" ht="12.9" customHeight="1">
      <c r="B571" s="29" t="s">
        <v>103</v>
      </c>
      <c r="C571" s="16">
        <f t="shared" si="259"/>
        <v>63.23</v>
      </c>
      <c r="E571" s="29" t="s">
        <v>103</v>
      </c>
      <c r="F571" s="27">
        <v>50.09</v>
      </c>
      <c r="G571" s="23">
        <f t="shared" ref="G571:H574" si="268">+F571</f>
        <v>50.09</v>
      </c>
      <c r="H571" s="23">
        <f t="shared" si="268"/>
        <v>50.09</v>
      </c>
      <c r="I571" s="27">
        <v>63.23</v>
      </c>
      <c r="J571" s="23">
        <f t="shared" si="267"/>
        <v>63.23</v>
      </c>
      <c r="K571" s="23">
        <f t="shared" si="265"/>
        <v>63.23</v>
      </c>
      <c r="L571" s="23">
        <f t="shared" si="265"/>
        <v>63.23</v>
      </c>
      <c r="M571" s="23">
        <f t="shared" si="265"/>
        <v>63.23</v>
      </c>
      <c r="N571" s="23">
        <f t="shared" si="265"/>
        <v>63.23</v>
      </c>
    </row>
    <row r="572" spans="2:28" s="2" customFormat="1" ht="12.9" customHeight="1">
      <c r="B572" s="29" t="s">
        <v>19</v>
      </c>
      <c r="C572" s="16">
        <f t="shared" si="259"/>
        <v>0</v>
      </c>
      <c r="E572" s="29" t="s">
        <v>19</v>
      </c>
      <c r="F572" s="30">
        <f>IF($C$1=F555,'Nómina mensual'!$R$29,0)</f>
        <v>0</v>
      </c>
      <c r="G572" s="30">
        <f>IF($C$1=G555,'Nómina mensual'!$R$29,0)</f>
        <v>0</v>
      </c>
      <c r="H572" s="30">
        <f>IF($C$1=H555,'Nómina mensual'!$R$29,0)</f>
        <v>0</v>
      </c>
      <c r="I572" s="30">
        <f>IF($C$1=I555,'Nómina mensual'!$R$29,0)</f>
        <v>0</v>
      </c>
      <c r="J572" s="30">
        <f>IF($C$1=J555,'Nómina mensual'!$R$29,0)</f>
        <v>0</v>
      </c>
      <c r="K572" s="30">
        <f>IF($C$1=K555,'Nómina mensual'!$R$29,0)</f>
        <v>0</v>
      </c>
      <c r="L572" s="30">
        <f>IF($C$1=L555,'Nómina mensual'!$R$29,0)</f>
        <v>0</v>
      </c>
      <c r="M572" s="30">
        <f>IF($C$1=M555,'Nómina mensual'!$R$29,0)</f>
        <v>0</v>
      </c>
      <c r="N572" s="23"/>
    </row>
    <row r="573" spans="2:28" s="2" customFormat="1" ht="12.9" customHeight="1">
      <c r="B573" s="31" t="s">
        <v>104</v>
      </c>
      <c r="C573" s="108">
        <f t="shared" si="259"/>
        <v>66.760000000000005</v>
      </c>
      <c r="E573" s="31" t="s">
        <v>288</v>
      </c>
      <c r="F573" s="27">
        <v>50.91</v>
      </c>
      <c r="G573" s="23">
        <f t="shared" si="268"/>
        <v>50.91</v>
      </c>
      <c r="H573" s="23">
        <f t="shared" si="268"/>
        <v>50.91</v>
      </c>
      <c r="I573" s="27">
        <v>66.760000000000005</v>
      </c>
      <c r="J573" s="23">
        <f t="shared" ref="J573:N574" si="269">+I573</f>
        <v>66.760000000000005</v>
      </c>
      <c r="K573" s="23">
        <f t="shared" si="269"/>
        <v>66.760000000000005</v>
      </c>
      <c r="L573" s="23">
        <f t="shared" si="269"/>
        <v>66.760000000000005</v>
      </c>
      <c r="M573" s="23">
        <f t="shared" si="269"/>
        <v>66.760000000000005</v>
      </c>
      <c r="N573" s="23">
        <f t="shared" si="269"/>
        <v>66.760000000000005</v>
      </c>
    </row>
    <row r="574" spans="2:28" s="2" customFormat="1" ht="12.9" customHeight="1">
      <c r="B574" s="31" t="s">
        <v>106</v>
      </c>
      <c r="C574" s="16">
        <f t="shared" si="259"/>
        <v>1102.57</v>
      </c>
      <c r="E574" s="31" t="s">
        <v>63</v>
      </c>
      <c r="F574" s="27">
        <v>820.76</v>
      </c>
      <c r="G574" s="23">
        <f t="shared" si="268"/>
        <v>820.76</v>
      </c>
      <c r="H574" s="23">
        <f t="shared" si="268"/>
        <v>820.76</v>
      </c>
      <c r="I574" s="27">
        <v>1102.57</v>
      </c>
      <c r="J574" s="23">
        <f t="shared" si="269"/>
        <v>1102.57</v>
      </c>
      <c r="K574" s="23">
        <f t="shared" si="269"/>
        <v>1102.57</v>
      </c>
      <c r="L574" s="23">
        <f t="shared" si="269"/>
        <v>1102.57</v>
      </c>
      <c r="M574" s="23">
        <f t="shared" si="269"/>
        <v>1102.57</v>
      </c>
      <c r="N574" s="23">
        <f t="shared" si="269"/>
        <v>1102.57</v>
      </c>
    </row>
    <row r="575" spans="2:28" s="2" customFormat="1" ht="12.9" customHeight="1">
      <c r="B575" s="31" t="s">
        <v>108</v>
      </c>
      <c r="C575" s="16">
        <f t="shared" si="259"/>
        <v>0</v>
      </c>
      <c r="E575" s="31" t="s">
        <v>108</v>
      </c>
      <c r="F575" s="25"/>
      <c r="G575" s="23"/>
      <c r="H575" s="23"/>
      <c r="I575" s="23"/>
      <c r="J575" s="23"/>
      <c r="K575" s="23"/>
      <c r="L575" s="23"/>
      <c r="M575" s="23"/>
      <c r="N575" s="23"/>
    </row>
    <row r="576" spans="2:28" s="2" customFormat="1" ht="12.9" customHeight="1">
      <c r="B576" s="33" t="s">
        <v>109</v>
      </c>
      <c r="C576" s="16">
        <f t="shared" si="259"/>
        <v>0</v>
      </c>
      <c r="E576" s="33" t="s">
        <v>109</v>
      </c>
      <c r="F576" s="27">
        <v>134.43</v>
      </c>
      <c r="G576" s="23"/>
      <c r="H576" s="23"/>
      <c r="I576" s="23"/>
      <c r="J576" s="23"/>
      <c r="K576" s="23"/>
      <c r="L576" s="23"/>
      <c r="M576" s="23"/>
      <c r="N576" s="23"/>
    </row>
    <row r="577" spans="2:27" s="2" customFormat="1" ht="12.9" customHeight="1">
      <c r="B577" s="34" t="s">
        <v>141</v>
      </c>
      <c r="C577" s="16">
        <f t="shared" si="259"/>
        <v>0</v>
      </c>
      <c r="E577" s="34" t="s">
        <v>141</v>
      </c>
      <c r="F577" s="23"/>
      <c r="G577" s="23"/>
      <c r="H577" s="23"/>
      <c r="I577" s="23"/>
      <c r="J577" s="23"/>
      <c r="K577" s="23"/>
      <c r="L577" s="23"/>
      <c r="M577" s="23"/>
      <c r="N577" s="23"/>
    </row>
    <row r="578" spans="2:27" s="2" customFormat="1" ht="12.9" customHeight="1">
      <c r="B578" s="34" t="s">
        <v>113</v>
      </c>
      <c r="C578" s="16">
        <f t="shared" si="259"/>
        <v>0</v>
      </c>
      <c r="E578" s="34" t="s">
        <v>113</v>
      </c>
      <c r="F578" s="23"/>
      <c r="G578" s="23"/>
      <c r="H578" s="23"/>
      <c r="I578" s="23"/>
      <c r="J578" s="23"/>
      <c r="K578" s="23"/>
      <c r="L578" s="23"/>
      <c r="M578" s="23"/>
      <c r="N578" s="23"/>
    </row>
    <row r="579" spans="2:27" s="2" customFormat="1" ht="12.9" customHeight="1">
      <c r="B579" s="34" t="s">
        <v>115</v>
      </c>
      <c r="C579" s="16">
        <f t="shared" si="259"/>
        <v>0</v>
      </c>
      <c r="E579" s="34" t="s">
        <v>115</v>
      </c>
      <c r="F579" s="23"/>
      <c r="G579" s="23"/>
      <c r="H579" s="23"/>
      <c r="I579" s="23"/>
      <c r="J579" s="23"/>
      <c r="K579" s="23"/>
      <c r="L579" s="23"/>
      <c r="M579" s="23"/>
      <c r="N579" s="23"/>
    </row>
    <row r="580" spans="2:27" s="2" customFormat="1" ht="12.9" customHeight="1">
      <c r="B580" s="35" t="s">
        <v>117</v>
      </c>
      <c r="C580" s="16">
        <f t="shared" si="259"/>
        <v>0</v>
      </c>
      <c r="E580" s="35" t="s">
        <v>117</v>
      </c>
      <c r="F580" s="23"/>
      <c r="G580" s="23"/>
      <c r="H580" s="23"/>
      <c r="I580" s="23"/>
      <c r="J580" s="23"/>
      <c r="K580" s="23"/>
      <c r="L580" s="23"/>
      <c r="M580" s="23"/>
      <c r="N580" s="23"/>
    </row>
    <row r="581" spans="2:27" s="2" customFormat="1" ht="12.9" customHeight="1">
      <c r="B581" s="39" t="s">
        <v>119</v>
      </c>
      <c r="C581" s="16">
        <f t="shared" si="259"/>
        <v>-51.68</v>
      </c>
      <c r="E581" s="39" t="s">
        <v>119</v>
      </c>
      <c r="F581" s="50">
        <f>+F77</f>
        <v>-40.68</v>
      </c>
      <c r="G581" s="50">
        <f t="shared" ref="G581:N581" si="270">+G77</f>
        <v>-40.68</v>
      </c>
      <c r="H581" s="50">
        <f t="shared" si="270"/>
        <v>-40.68</v>
      </c>
      <c r="I581" s="50">
        <f t="shared" si="270"/>
        <v>-51.68</v>
      </c>
      <c r="J581" s="50">
        <f t="shared" si="270"/>
        <v>-51.68</v>
      </c>
      <c r="K581" s="50">
        <f t="shared" si="270"/>
        <v>-51.68</v>
      </c>
      <c r="L581" s="50">
        <f t="shared" si="270"/>
        <v>-51.68</v>
      </c>
      <c r="M581" s="50">
        <f t="shared" si="270"/>
        <v>-51.68</v>
      </c>
      <c r="N581" s="50">
        <f t="shared" si="270"/>
        <v>-51.68</v>
      </c>
    </row>
    <row r="582" spans="2:27" s="2" customFormat="1" ht="12.9" customHeight="1">
      <c r="B582" s="39" t="s">
        <v>121</v>
      </c>
      <c r="C582" s="16">
        <f t="shared" si="259"/>
        <v>118.04</v>
      </c>
      <c r="E582" s="39" t="s">
        <v>121</v>
      </c>
      <c r="F582" s="50">
        <f>+F78</f>
        <v>-92.9</v>
      </c>
      <c r="G582" s="50">
        <f t="shared" ref="G582:N582" si="271">+G78</f>
        <v>-92.9</v>
      </c>
      <c r="H582" s="50">
        <f t="shared" si="271"/>
        <v>-92.9</v>
      </c>
      <c r="I582" s="50">
        <f t="shared" si="271"/>
        <v>118.04</v>
      </c>
      <c r="J582" s="50">
        <f t="shared" si="271"/>
        <v>118.04</v>
      </c>
      <c r="K582" s="50">
        <f t="shared" si="271"/>
        <v>118.04</v>
      </c>
      <c r="L582" s="50">
        <f t="shared" si="271"/>
        <v>118.04</v>
      </c>
      <c r="M582" s="50">
        <f t="shared" si="271"/>
        <v>118.04</v>
      </c>
      <c r="N582" s="50">
        <f t="shared" si="271"/>
        <v>118.04</v>
      </c>
    </row>
    <row r="583" spans="2:27">
      <c r="B583" s="41" t="s">
        <v>80</v>
      </c>
      <c r="C583" s="16">
        <f t="shared" si="259"/>
        <v>52344.139999999992</v>
      </c>
      <c r="E583" s="42" t="s">
        <v>80</v>
      </c>
      <c r="F583" s="3">
        <f>((+F558+F562+F563+F574)*12)+(F560*INT($C$3/3)*12)+((F559+F562)*2)+((F563+F574)*2)+(F572*14)+(F561*INT($C$3/3)*2)+(F573*INT($C$3/3)*12)+(IF($C$4="si",F576*12,0))+(((IF(INT($C$3/3)&lt;6,F565,0))+(IF(AND(INT($C$3/6)&gt;0,INT($C$3/6)&lt;2),F566,0))+(IF(AND(INT($C$3/6)&gt;1,INT($C$3/6)&lt;3),F566+F567,0))+(IF(AND(INT($C$3/6)&gt;2,INT($C$3/6)&lt;4),F566+F567+F568,0))+(IF(AND(INT($C$3/6)&gt;3,INT($C$3/6)&lt;5),F566+F567+F568+F569,0))+(IF(INT($C$3/6)&gt;4,F566+F567+F568+F569+F570,0)))*12)+(IF($C$7="si",F571*12,0))++(((IF(INT($C$3/3)&lt;6,F565,0))+(IF(AND(INT($C$3/6)&gt;0,INT($C$3/6)&lt;2),F566,0))+(IF(AND(INT($C$3/6)&gt;1,INT($C$3/6)&lt;3),F566+F567,0))+(IF(AND(INT($C$3/6)&gt;2,INT($C$3/6)&lt;4),F566+F567+F568,0))+(IF(AND(INT($C$3/6)&gt;3,INT($C$3/6)&lt;5),F566+F567+F568+F569,0))+(IF(INT($C$3/6)&gt;4,F566+F567+F568+F569+F570,0)))*2)+(F577*12)+(F578*2)</f>
        <v>43858.66</v>
      </c>
      <c r="G583" s="3">
        <f t="shared" ref="G583:N583" si="272">((+G558+G562+G563+G574)*12)+(G560*INT($C$3/3)*12)+((G559+G562)*2)+((G563+G574)*2)+(G572*14)+(G561*INT($C$3/3)*2)+(G573*INT($C$3/3)*12)+(IF($C$4="si",G576*12,0))+(((IF(INT($C$3/3)&lt;6,G565,0))+(IF(AND(INT($C$3/6)&gt;0,INT($C$3/6)&lt;2),G566,0))+(IF(AND(INT($C$3/6)&gt;1,INT($C$3/6)&lt;3),G566+G567,0))+(IF(AND(INT($C$3/6)&gt;2,INT($C$3/6)&lt;4),G566+G567+G568,0))+(IF(AND(INT($C$3/6)&gt;3,INT($C$3/6)&lt;5),G566+G567+G568+G569,0))+(IF(INT($C$3/6)&gt;4,G566+G567+G568+G569+G570,0)))*12)+(IF($C$7="si",G571*12,0))++(((IF(INT($C$3/3)&lt;6,G565,0))+(IF(AND(INT($C$3/6)&gt;0,INT($C$3/6)&lt;2),G566,0))+(IF(AND(INT($C$3/6)&gt;1,INT($C$3/6)&lt;3),G566+G567,0))+(IF(AND(INT($C$3/6)&gt;2,INT($C$3/6)&lt;4),G566+G567+G568,0))+(IF(AND(INT($C$3/6)&gt;3,INT($C$3/6)&lt;5),G566+G567+G568+G569,0))+(IF(INT($C$3/6)&gt;4,G566+G567+G568+G569+G570,0)))*2)+(G577*12)+(G578*2)</f>
        <v>45752.44000000001</v>
      </c>
      <c r="H583" s="3">
        <f t="shared" si="272"/>
        <v>45752.44000000001</v>
      </c>
      <c r="I583" s="3">
        <f t="shared" si="272"/>
        <v>52344.139999999992</v>
      </c>
      <c r="J583" s="3">
        <f t="shared" si="272"/>
        <v>52344.139999999992</v>
      </c>
      <c r="K583" s="3">
        <f t="shared" si="272"/>
        <v>52344.139999999992</v>
      </c>
      <c r="L583" s="3">
        <f t="shared" si="272"/>
        <v>52344.139999999992</v>
      </c>
      <c r="M583" s="3">
        <f t="shared" si="272"/>
        <v>54458.840000000004</v>
      </c>
      <c r="N583" s="3">
        <f t="shared" si="272"/>
        <v>63022.64</v>
      </c>
    </row>
    <row r="590" spans="2:27" s="2" customFormat="1" ht="12.9" customHeight="1">
      <c r="B590" s="9"/>
      <c r="C590" s="2" t="str">
        <f>+E591</f>
        <v>País Vasco</v>
      </c>
    </row>
    <row r="591" spans="2:27" s="2" customFormat="1" ht="35.25" customHeight="1">
      <c r="C591" s="10" t="str">
        <f>+$C$11</f>
        <v>590-Profesores Enseñanza Secundaria</v>
      </c>
      <c r="E591" s="11" t="s">
        <v>41</v>
      </c>
      <c r="F591" s="12" t="s">
        <v>120</v>
      </c>
      <c r="G591" s="12" t="s">
        <v>110</v>
      </c>
      <c r="H591" s="12" t="s">
        <v>118</v>
      </c>
      <c r="I591" s="12" t="s">
        <v>4</v>
      </c>
      <c r="J591" s="12" t="s">
        <v>112</v>
      </c>
      <c r="K591" s="12" t="s">
        <v>114</v>
      </c>
      <c r="L591" s="12" t="s">
        <v>116</v>
      </c>
      <c r="M591" s="12" t="s">
        <v>107</v>
      </c>
      <c r="N591" s="12" t="s">
        <v>105</v>
      </c>
      <c r="O591" s="2" t="s">
        <v>289</v>
      </c>
      <c r="Q591" s="14" t="s">
        <v>137</v>
      </c>
      <c r="R591" s="14"/>
      <c r="S591" s="60"/>
      <c r="T591" s="60"/>
      <c r="U591" s="60"/>
      <c r="V591" s="60"/>
      <c r="W591" s="14" t="s">
        <v>138</v>
      </c>
      <c r="X591" s="60"/>
      <c r="Y591" s="60"/>
      <c r="Z591" s="47"/>
      <c r="AA591" s="47"/>
    </row>
    <row r="592" spans="2:27" s="2" customFormat="1" ht="12.9" customHeight="1">
      <c r="B592" s="44" t="s">
        <v>91</v>
      </c>
      <c r="C592" s="16" t="str">
        <f t="shared" ref="C592:C619" si="273">IF($C$11=$F$11,F592,IF($C$11=G$11,G592,IF($C$11=H$11,H592,IF($C$11=I$11,I592,IF($C$11=J$11,J592,IF($C$11=K$11,K592,IF($C$11=L$11,L592,IF($C$11=M$11,M592,N592))))))))</f>
        <v>A1</v>
      </c>
      <c r="E592" s="45" t="s">
        <v>91</v>
      </c>
      <c r="F592" s="17" t="s">
        <v>137</v>
      </c>
      <c r="G592" s="17" t="s">
        <v>137</v>
      </c>
      <c r="H592" s="17" t="s">
        <v>137</v>
      </c>
      <c r="I592" s="17" t="s">
        <v>138</v>
      </c>
      <c r="J592" s="17" t="s">
        <v>138</v>
      </c>
      <c r="K592" s="17" t="s">
        <v>138</v>
      </c>
      <c r="L592" s="17" t="s">
        <v>138</v>
      </c>
      <c r="M592" s="17" t="s">
        <v>138</v>
      </c>
      <c r="N592" s="17" t="s">
        <v>138</v>
      </c>
      <c r="Q592" s="47"/>
      <c r="R592" s="47" t="s">
        <v>20</v>
      </c>
      <c r="S592" s="47" t="s">
        <v>123</v>
      </c>
      <c r="T592" s="47" t="s">
        <v>126</v>
      </c>
      <c r="U592" s="47" t="s">
        <v>129</v>
      </c>
      <c r="V592" s="47" t="s">
        <v>130</v>
      </c>
      <c r="W592" s="47" t="s">
        <v>20</v>
      </c>
      <c r="X592" s="47" t="s">
        <v>123</v>
      </c>
      <c r="Y592" s="47" t="s">
        <v>126</v>
      </c>
      <c r="Z592" s="47" t="s">
        <v>129</v>
      </c>
      <c r="AA592" s="47" t="s">
        <v>130</v>
      </c>
    </row>
    <row r="593" spans="2:28" s="2" customFormat="1" ht="12.9" customHeight="1">
      <c r="B593" s="44" t="str">
        <f>+E593</f>
        <v>Nivel</v>
      </c>
      <c r="C593" s="16">
        <f t="shared" si="273"/>
        <v>24</v>
      </c>
      <c r="E593" s="45" t="s">
        <v>144</v>
      </c>
      <c r="F593" s="17">
        <v>21</v>
      </c>
      <c r="G593" s="17">
        <v>24</v>
      </c>
      <c r="H593" s="17">
        <v>24</v>
      </c>
      <c r="I593" s="17">
        <v>24</v>
      </c>
      <c r="J593" s="17">
        <v>24</v>
      </c>
      <c r="K593" s="17">
        <v>24</v>
      </c>
      <c r="L593" s="17">
        <v>24</v>
      </c>
      <c r="M593" s="17">
        <v>26</v>
      </c>
      <c r="N593" s="17">
        <v>26</v>
      </c>
      <c r="P593" s="2" t="s">
        <v>290</v>
      </c>
      <c r="Q593" s="47" t="s">
        <v>124</v>
      </c>
      <c r="R593" s="47">
        <v>0</v>
      </c>
      <c r="S593" s="19">
        <v>566.52</v>
      </c>
      <c r="T593" s="19"/>
      <c r="U593" s="19">
        <v>265.18</v>
      </c>
      <c r="V593" s="19">
        <f>U593</f>
        <v>265.18</v>
      </c>
      <c r="W593" s="47">
        <v>0</v>
      </c>
      <c r="X593" s="19">
        <v>663.48</v>
      </c>
      <c r="Y593" s="19"/>
      <c r="Z593" s="19">
        <v>383.45</v>
      </c>
      <c r="AA593" s="19">
        <f>Z593</f>
        <v>383.45</v>
      </c>
      <c r="AB593" s="2" t="s">
        <v>291</v>
      </c>
    </row>
    <row r="594" spans="2:28" s="2" customFormat="1" ht="12.9" customHeight="1">
      <c r="B594" s="22" t="s">
        <v>43</v>
      </c>
      <c r="C594" s="16">
        <f t="shared" si="273"/>
        <v>1387.24</v>
      </c>
      <c r="E594" s="22" t="s">
        <v>43</v>
      </c>
      <c r="F594" s="23">
        <f t="shared" ref="F594:I597" si="274">+F558</f>
        <v>1199.52</v>
      </c>
      <c r="G594" s="23">
        <f t="shared" si="274"/>
        <v>1199.52</v>
      </c>
      <c r="H594" s="23">
        <f t="shared" si="274"/>
        <v>1199.52</v>
      </c>
      <c r="I594" s="23">
        <f t="shared" si="274"/>
        <v>1387.24</v>
      </c>
      <c r="J594" s="23">
        <f t="shared" ref="J594:N597" si="275">+I594</f>
        <v>1387.24</v>
      </c>
      <c r="K594" s="23">
        <f t="shared" si="275"/>
        <v>1387.24</v>
      </c>
      <c r="L594" s="23">
        <f t="shared" si="275"/>
        <v>1387.24</v>
      </c>
      <c r="M594" s="23">
        <f t="shared" si="275"/>
        <v>1387.24</v>
      </c>
      <c r="N594" s="23">
        <f t="shared" si="275"/>
        <v>1387.24</v>
      </c>
      <c r="P594" s="2" t="s">
        <v>292</v>
      </c>
      <c r="Q594" s="47" t="s">
        <v>127</v>
      </c>
      <c r="R594" s="47">
        <v>0</v>
      </c>
      <c r="S594" s="19">
        <v>532.53</v>
      </c>
      <c r="T594" s="19"/>
      <c r="U594" s="19">
        <v>257.04000000000002</v>
      </c>
      <c r="V594" s="19">
        <f t="shared" ref="V594:V598" si="276">U594</f>
        <v>257.04000000000002</v>
      </c>
      <c r="W594" s="47">
        <v>0</v>
      </c>
      <c r="X594" s="19">
        <v>596.71</v>
      </c>
      <c r="Y594" s="19"/>
      <c r="Z594" s="19">
        <v>375.39</v>
      </c>
      <c r="AA594" s="19">
        <f>Z594</f>
        <v>375.39</v>
      </c>
      <c r="AB594" s="2" t="s">
        <v>293</v>
      </c>
    </row>
    <row r="595" spans="2:28" s="2" customFormat="1" ht="12.9" customHeight="1">
      <c r="B595" s="22" t="s">
        <v>92</v>
      </c>
      <c r="C595" s="16">
        <f t="shared" si="273"/>
        <v>856.05</v>
      </c>
      <c r="E595" s="22" t="s">
        <v>92</v>
      </c>
      <c r="F595" s="25">
        <f t="shared" si="274"/>
        <v>874.83</v>
      </c>
      <c r="G595" s="25">
        <f t="shared" si="274"/>
        <v>874.83</v>
      </c>
      <c r="H595" s="25">
        <f t="shared" si="274"/>
        <v>874.83</v>
      </c>
      <c r="I595" s="25">
        <f t="shared" si="274"/>
        <v>856.05</v>
      </c>
      <c r="J595" s="23">
        <f t="shared" si="275"/>
        <v>856.05</v>
      </c>
      <c r="K595" s="23">
        <f t="shared" si="275"/>
        <v>856.05</v>
      </c>
      <c r="L595" s="23">
        <f t="shared" si="275"/>
        <v>856.05</v>
      </c>
      <c r="M595" s="23">
        <f t="shared" si="275"/>
        <v>856.05</v>
      </c>
      <c r="N595" s="23">
        <f t="shared" si="275"/>
        <v>856.05</v>
      </c>
      <c r="P595" s="2" t="s">
        <v>294</v>
      </c>
      <c r="Q595" s="47" t="s">
        <v>22</v>
      </c>
      <c r="R595" s="47">
        <v>0</v>
      </c>
      <c r="S595" s="19">
        <v>421.47</v>
      </c>
      <c r="T595" s="19"/>
      <c r="U595" s="19">
        <v>257.04000000000002</v>
      </c>
      <c r="V595" s="19">
        <f t="shared" si="276"/>
        <v>257.04000000000002</v>
      </c>
      <c r="W595" s="47">
        <v>0</v>
      </c>
      <c r="X595" s="19">
        <v>560.46</v>
      </c>
      <c r="Y595" s="19"/>
      <c r="Z595" s="19">
        <v>294.69</v>
      </c>
      <c r="AA595" s="19">
        <f t="shared" ref="AA595:AA596" si="277">Z595</f>
        <v>294.69</v>
      </c>
      <c r="AB595" s="2" t="s">
        <v>295</v>
      </c>
    </row>
    <row r="596" spans="2:28" s="2" customFormat="1" ht="12.9" customHeight="1">
      <c r="B596" s="22" t="s">
        <v>93</v>
      </c>
      <c r="C596" s="16">
        <f t="shared" si="273"/>
        <v>53.39</v>
      </c>
      <c r="E596" s="22" t="s">
        <v>93</v>
      </c>
      <c r="F596" s="23">
        <f t="shared" si="274"/>
        <v>43.54</v>
      </c>
      <c r="G596" s="23">
        <f t="shared" si="274"/>
        <v>43.54</v>
      </c>
      <c r="H596" s="23">
        <f t="shared" si="274"/>
        <v>43.54</v>
      </c>
      <c r="I596" s="23">
        <f t="shared" si="274"/>
        <v>53.39</v>
      </c>
      <c r="J596" s="23">
        <f t="shared" si="275"/>
        <v>53.39</v>
      </c>
      <c r="K596" s="23">
        <f t="shared" si="275"/>
        <v>53.39</v>
      </c>
      <c r="L596" s="23">
        <f t="shared" si="275"/>
        <v>53.39</v>
      </c>
      <c r="M596" s="23">
        <f t="shared" si="275"/>
        <v>53.39</v>
      </c>
      <c r="N596" s="23">
        <f t="shared" si="275"/>
        <v>53.39</v>
      </c>
      <c r="P596" s="2" t="s">
        <v>296</v>
      </c>
      <c r="Q596" s="47" t="s">
        <v>131</v>
      </c>
      <c r="R596" s="47">
        <v>0</v>
      </c>
      <c r="S596" s="19">
        <v>346.9</v>
      </c>
      <c r="T596" s="19"/>
      <c r="U596" s="19">
        <v>199.94</v>
      </c>
      <c r="V596" s="19">
        <f t="shared" si="276"/>
        <v>199.94</v>
      </c>
      <c r="W596" s="47">
        <v>0</v>
      </c>
      <c r="X596" s="19">
        <v>526.86</v>
      </c>
      <c r="Y596" s="19"/>
      <c r="Z596" s="19">
        <v>279.20999999999998</v>
      </c>
      <c r="AA596" s="19">
        <f t="shared" si="277"/>
        <v>279.20999999999998</v>
      </c>
      <c r="AB596" s="2" t="s">
        <v>297</v>
      </c>
    </row>
    <row r="597" spans="2:28" s="2" customFormat="1" ht="12.9" customHeight="1">
      <c r="B597" s="22" t="s">
        <v>95</v>
      </c>
      <c r="C597" s="16">
        <f t="shared" si="273"/>
        <v>32.96</v>
      </c>
      <c r="E597" s="22" t="s">
        <v>95</v>
      </c>
      <c r="F597" s="25">
        <f t="shared" si="274"/>
        <v>31.74</v>
      </c>
      <c r="G597" s="25">
        <f t="shared" si="274"/>
        <v>31.74</v>
      </c>
      <c r="H597" s="25">
        <f t="shared" si="274"/>
        <v>31.74</v>
      </c>
      <c r="I597" s="25">
        <f t="shared" si="274"/>
        <v>32.96</v>
      </c>
      <c r="J597" s="23">
        <f t="shared" si="275"/>
        <v>32.96</v>
      </c>
      <c r="K597" s="23">
        <f t="shared" si="275"/>
        <v>32.96</v>
      </c>
      <c r="L597" s="23">
        <f t="shared" si="275"/>
        <v>32.96</v>
      </c>
      <c r="M597" s="23">
        <f t="shared" si="275"/>
        <v>32.96</v>
      </c>
      <c r="N597" s="23">
        <f t="shared" si="275"/>
        <v>32.96</v>
      </c>
      <c r="P597" s="2" t="s">
        <v>298</v>
      </c>
      <c r="Q597" s="47" t="s">
        <v>133</v>
      </c>
      <c r="R597" s="47">
        <v>0</v>
      </c>
      <c r="S597" s="19">
        <v>278.52999999999997</v>
      </c>
      <c r="T597" s="26"/>
      <c r="U597" s="19">
        <v>51.96</v>
      </c>
      <c r="V597" s="19">
        <f t="shared" si="276"/>
        <v>51.96</v>
      </c>
      <c r="W597" s="47">
        <v>0</v>
      </c>
      <c r="X597" s="26"/>
      <c r="Y597" s="26"/>
      <c r="Z597" s="19"/>
      <c r="AA597" s="26"/>
    </row>
    <row r="598" spans="2:28" s="2" customFormat="1" ht="12.9" customHeight="1">
      <c r="B598" s="22" t="s">
        <v>46</v>
      </c>
      <c r="C598" s="16">
        <f t="shared" si="273"/>
        <v>817.32</v>
      </c>
      <c r="E598" s="22" t="s">
        <v>46</v>
      </c>
      <c r="F598" s="27">
        <v>651.20000000000005</v>
      </c>
      <c r="G598" s="27">
        <v>817.32</v>
      </c>
      <c r="H598" s="23">
        <f>+G598</f>
        <v>817.32</v>
      </c>
      <c r="I598" s="23">
        <f>+H598</f>
        <v>817.32</v>
      </c>
      <c r="J598" s="23">
        <f>+I598</f>
        <v>817.32</v>
      </c>
      <c r="K598" s="23">
        <f>+J598</f>
        <v>817.32</v>
      </c>
      <c r="L598" s="23">
        <f>+K598</f>
        <v>817.32</v>
      </c>
      <c r="M598" s="23">
        <v>883.37</v>
      </c>
      <c r="N598" s="23">
        <f t="shared" ref="J598:N601" si="278">+M598</f>
        <v>883.37</v>
      </c>
      <c r="P598" s="2" t="s">
        <v>299</v>
      </c>
      <c r="Q598" s="47" t="s">
        <v>134</v>
      </c>
      <c r="R598" s="47">
        <v>0</v>
      </c>
      <c r="S598" s="19">
        <v>193.13</v>
      </c>
      <c r="T598" s="26"/>
      <c r="U598" s="19">
        <v>51.96</v>
      </c>
      <c r="V598" s="19">
        <f t="shared" si="276"/>
        <v>51.96</v>
      </c>
      <c r="W598" s="47">
        <v>0</v>
      </c>
      <c r="X598" s="26"/>
      <c r="Y598" s="26"/>
      <c r="Z598" s="19"/>
      <c r="AA598" s="26"/>
    </row>
    <row r="599" spans="2:28" s="2" customFormat="1" ht="12.9" customHeight="1">
      <c r="B599" s="22" t="s">
        <v>48</v>
      </c>
      <c r="C599" s="16">
        <f t="shared" si="273"/>
        <v>1034.6400000000001</v>
      </c>
      <c r="E599" s="22" t="s">
        <v>48</v>
      </c>
      <c r="F599" s="27">
        <v>948.22</v>
      </c>
      <c r="G599" s="46">
        <v>1034.6400000000001</v>
      </c>
      <c r="H599" s="23">
        <f>+G599</f>
        <v>1034.6400000000001</v>
      </c>
      <c r="I599" s="27">
        <v>1034.6400000000001</v>
      </c>
      <c r="J599" s="23">
        <f t="shared" si="278"/>
        <v>1034.6400000000001</v>
      </c>
      <c r="K599" s="23">
        <f t="shared" si="278"/>
        <v>1034.6400000000001</v>
      </c>
      <c r="L599" s="23">
        <f t="shared" si="278"/>
        <v>1034.6400000000001</v>
      </c>
      <c r="M599" s="28">
        <v>1125.1099999999999</v>
      </c>
      <c r="N599" s="28">
        <v>1727.63</v>
      </c>
    </row>
    <row r="600" spans="2:28" s="2" customFormat="1" ht="12.9" customHeight="1">
      <c r="B600" s="29" t="s">
        <v>49</v>
      </c>
      <c r="C600" s="16">
        <f t="shared" si="273"/>
        <v>0</v>
      </c>
      <c r="E600" s="29" t="s">
        <v>49</v>
      </c>
      <c r="F600" s="23"/>
      <c r="G600" s="23"/>
      <c r="H600" s="23"/>
      <c r="I600" s="23"/>
      <c r="J600" s="23">
        <f t="shared" si="278"/>
        <v>0</v>
      </c>
      <c r="K600" s="23">
        <f t="shared" si="278"/>
        <v>0</v>
      </c>
      <c r="L600" s="23">
        <f t="shared" si="278"/>
        <v>0</v>
      </c>
      <c r="M600" s="23">
        <f t="shared" si="278"/>
        <v>0</v>
      </c>
      <c r="N600" s="23">
        <f t="shared" si="278"/>
        <v>0</v>
      </c>
    </row>
    <row r="601" spans="2:28" s="2" customFormat="1" ht="12.9" customHeight="1">
      <c r="B601" s="29" t="s">
        <v>98</v>
      </c>
      <c r="C601" s="16">
        <f t="shared" si="273"/>
        <v>0</v>
      </c>
      <c r="E601" s="29" t="s">
        <v>98</v>
      </c>
      <c r="F601" s="23"/>
      <c r="G601" s="23"/>
      <c r="H601" s="23"/>
      <c r="I601" s="23"/>
      <c r="J601" s="23">
        <f t="shared" si="278"/>
        <v>0</v>
      </c>
      <c r="K601" s="23">
        <f t="shared" si="278"/>
        <v>0</v>
      </c>
      <c r="L601" s="23">
        <f t="shared" si="278"/>
        <v>0</v>
      </c>
      <c r="M601" s="23">
        <f t="shared" si="278"/>
        <v>0</v>
      </c>
      <c r="N601" s="23">
        <f t="shared" si="278"/>
        <v>0</v>
      </c>
    </row>
    <row r="602" spans="2:28" s="2" customFormat="1" ht="12.9" customHeight="1">
      <c r="B602" s="29" t="s">
        <v>52</v>
      </c>
      <c r="C602" s="16">
        <f t="shared" si="273"/>
        <v>89.91</v>
      </c>
      <c r="E602" s="29" t="s">
        <v>52</v>
      </c>
      <c r="F602" s="27">
        <v>89.91</v>
      </c>
      <c r="G602" s="23">
        <f t="shared" ref="G602:I607" si="279">+F602</f>
        <v>89.91</v>
      </c>
      <c r="H602" s="23">
        <f t="shared" si="279"/>
        <v>89.91</v>
      </c>
      <c r="I602" s="23">
        <f t="shared" si="279"/>
        <v>89.91</v>
      </c>
      <c r="J602" s="23">
        <f t="shared" ref="J602:N607" si="280">+I602</f>
        <v>89.91</v>
      </c>
      <c r="K602" s="23">
        <f t="shared" si="280"/>
        <v>89.91</v>
      </c>
      <c r="L602" s="23">
        <f t="shared" si="280"/>
        <v>89.91</v>
      </c>
      <c r="M602" s="23">
        <f t="shared" si="280"/>
        <v>89.91</v>
      </c>
      <c r="N602" s="23">
        <f t="shared" si="280"/>
        <v>89.91</v>
      </c>
    </row>
    <row r="603" spans="2:28" s="2" customFormat="1" ht="12.9" customHeight="1">
      <c r="B603" s="29" t="s">
        <v>54</v>
      </c>
      <c r="C603" s="16">
        <f t="shared" si="273"/>
        <v>0</v>
      </c>
      <c r="E603" s="29" t="s">
        <v>54</v>
      </c>
      <c r="F603" s="23"/>
      <c r="G603" s="23">
        <f t="shared" si="279"/>
        <v>0</v>
      </c>
      <c r="H603" s="23">
        <f t="shared" si="279"/>
        <v>0</v>
      </c>
      <c r="I603" s="23">
        <f t="shared" si="279"/>
        <v>0</v>
      </c>
      <c r="J603" s="23">
        <f t="shared" si="280"/>
        <v>0</v>
      </c>
      <c r="K603" s="23">
        <f t="shared" si="280"/>
        <v>0</v>
      </c>
      <c r="L603" s="23">
        <f t="shared" si="280"/>
        <v>0</v>
      </c>
      <c r="M603" s="23">
        <f t="shared" si="280"/>
        <v>0</v>
      </c>
      <c r="N603" s="23">
        <f t="shared" si="280"/>
        <v>0</v>
      </c>
    </row>
    <row r="604" spans="2:28" s="2" customFormat="1" ht="12.9" customHeight="1">
      <c r="B604" s="29" t="s">
        <v>56</v>
      </c>
      <c r="C604" s="16">
        <f t="shared" si="273"/>
        <v>0</v>
      </c>
      <c r="E604" s="29" t="s">
        <v>56</v>
      </c>
      <c r="F604" s="23"/>
      <c r="G604" s="23">
        <f t="shared" si="279"/>
        <v>0</v>
      </c>
      <c r="H604" s="23">
        <f t="shared" si="279"/>
        <v>0</v>
      </c>
      <c r="I604" s="23">
        <f t="shared" si="279"/>
        <v>0</v>
      </c>
      <c r="J604" s="23">
        <f t="shared" si="280"/>
        <v>0</v>
      </c>
      <c r="K604" s="23">
        <f t="shared" si="280"/>
        <v>0</v>
      </c>
      <c r="L604" s="23">
        <f t="shared" si="280"/>
        <v>0</v>
      </c>
      <c r="M604" s="23">
        <f t="shared" si="280"/>
        <v>0</v>
      </c>
      <c r="N604" s="23">
        <f t="shared" si="280"/>
        <v>0</v>
      </c>
    </row>
    <row r="605" spans="2:28" s="2" customFormat="1" ht="12.9" customHeight="1">
      <c r="B605" s="29" t="s">
        <v>58</v>
      </c>
      <c r="C605" s="16">
        <f t="shared" si="273"/>
        <v>53.63</v>
      </c>
      <c r="E605" s="29" t="s">
        <v>58</v>
      </c>
      <c r="F605" s="27">
        <v>53.63</v>
      </c>
      <c r="G605" s="23">
        <f t="shared" si="279"/>
        <v>53.63</v>
      </c>
      <c r="H605" s="23">
        <f t="shared" si="279"/>
        <v>53.63</v>
      </c>
      <c r="I605" s="23">
        <f t="shared" si="279"/>
        <v>53.63</v>
      </c>
      <c r="J605" s="23">
        <f t="shared" si="280"/>
        <v>53.63</v>
      </c>
      <c r="K605" s="23">
        <f t="shared" si="280"/>
        <v>53.63</v>
      </c>
      <c r="L605" s="23">
        <f t="shared" si="280"/>
        <v>53.63</v>
      </c>
      <c r="M605" s="23">
        <f t="shared" si="280"/>
        <v>53.63</v>
      </c>
      <c r="N605" s="23">
        <f t="shared" si="280"/>
        <v>53.63</v>
      </c>
    </row>
    <row r="606" spans="2:28" s="2" customFormat="1" ht="12.9" customHeight="1">
      <c r="B606" s="29" t="s">
        <v>60</v>
      </c>
      <c r="C606" s="16">
        <f t="shared" si="273"/>
        <v>44.44</v>
      </c>
      <c r="E606" s="29" t="s">
        <v>60</v>
      </c>
      <c r="F606" s="27">
        <v>44.44</v>
      </c>
      <c r="G606" s="23">
        <f t="shared" si="279"/>
        <v>44.44</v>
      </c>
      <c r="H606" s="23">
        <f t="shared" si="279"/>
        <v>44.44</v>
      </c>
      <c r="I606" s="23">
        <f t="shared" si="279"/>
        <v>44.44</v>
      </c>
      <c r="J606" s="23">
        <f t="shared" si="280"/>
        <v>44.44</v>
      </c>
      <c r="K606" s="23">
        <f t="shared" si="280"/>
        <v>44.44</v>
      </c>
      <c r="L606" s="23">
        <f t="shared" si="280"/>
        <v>44.44</v>
      </c>
      <c r="M606" s="23">
        <f t="shared" si="280"/>
        <v>44.44</v>
      </c>
      <c r="N606" s="23">
        <f t="shared" si="280"/>
        <v>44.44</v>
      </c>
    </row>
    <row r="607" spans="2:28" s="2" customFormat="1" ht="12.9" customHeight="1">
      <c r="B607" s="29" t="s">
        <v>103</v>
      </c>
      <c r="C607" s="16">
        <f t="shared" si="273"/>
        <v>62.45</v>
      </c>
      <c r="E607" s="29" t="s">
        <v>103</v>
      </c>
      <c r="F607" s="32">
        <v>62.45</v>
      </c>
      <c r="G607" s="23">
        <f t="shared" si="279"/>
        <v>62.45</v>
      </c>
      <c r="H607" s="23">
        <f t="shared" si="279"/>
        <v>62.45</v>
      </c>
      <c r="I607" s="23">
        <f t="shared" si="279"/>
        <v>62.45</v>
      </c>
      <c r="J607" s="23">
        <f t="shared" si="280"/>
        <v>62.45</v>
      </c>
      <c r="K607" s="23">
        <f t="shared" si="280"/>
        <v>62.45</v>
      </c>
      <c r="L607" s="23">
        <f t="shared" si="280"/>
        <v>62.45</v>
      </c>
      <c r="M607" s="23">
        <f t="shared" si="280"/>
        <v>62.45</v>
      </c>
      <c r="N607" s="23">
        <f t="shared" si="280"/>
        <v>62.45</v>
      </c>
    </row>
    <row r="608" spans="2:28" s="2" customFormat="1" ht="12.9" customHeight="1">
      <c r="B608" s="29" t="s">
        <v>19</v>
      </c>
      <c r="C608" s="16">
        <f t="shared" si="273"/>
        <v>0</v>
      </c>
      <c r="E608" s="29" t="s">
        <v>19</v>
      </c>
      <c r="F608" s="30">
        <f>IF($C$1=F591,'Nómina mensual'!$S$29,0)</f>
        <v>0</v>
      </c>
      <c r="G608" s="30">
        <f>IF($C$1=G591,'Nómina mensual'!$S$29,0)</f>
        <v>0</v>
      </c>
      <c r="H608" s="30">
        <f>IF($C$1=H591,'Nómina mensual'!$S$29,0)</f>
        <v>0</v>
      </c>
      <c r="I608" s="30">
        <f>IF($C$1=I591,'Nómina mensual'!$S$29,0)</f>
        <v>0</v>
      </c>
      <c r="J608" s="30">
        <f>IF($C$1=J591,'Nómina mensual'!$S$29,0)</f>
        <v>0</v>
      </c>
      <c r="K608" s="30">
        <f>IF($C$1=K591,'Nómina mensual'!$S$29,0)</f>
        <v>0</v>
      </c>
      <c r="L608" s="30">
        <f>IF($C$1=L591,'Nómina mensual'!$S$29,0)</f>
        <v>0</v>
      </c>
      <c r="M608" s="30">
        <f>IF($C$1=M591,'Nómina mensual'!$S$29,0)</f>
        <v>0</v>
      </c>
    </row>
    <row r="609" spans="2:14" s="2" customFormat="1" ht="12.9" customHeight="1">
      <c r="B609" s="31" t="s">
        <v>104</v>
      </c>
      <c r="C609" s="16">
        <f t="shared" si="273"/>
        <v>0</v>
      </c>
      <c r="E609" s="31" t="s">
        <v>104</v>
      </c>
      <c r="F609" s="23"/>
      <c r="G609" s="23"/>
      <c r="H609" s="23"/>
      <c r="I609" s="23"/>
      <c r="J609" s="23">
        <f>+I609</f>
        <v>0</v>
      </c>
      <c r="K609" s="23">
        <f>+J609</f>
        <v>0</v>
      </c>
      <c r="L609" s="23">
        <f>+K609</f>
        <v>0</v>
      </c>
      <c r="M609" s="2">
        <f>+L609</f>
        <v>0</v>
      </c>
      <c r="N609" s="2">
        <f>+M609</f>
        <v>0</v>
      </c>
    </row>
    <row r="610" spans="2:14" s="2" customFormat="1" ht="12.9" customHeight="1">
      <c r="B610" s="31" t="s">
        <v>106</v>
      </c>
      <c r="C610" s="16">
        <f t="shared" si="273"/>
        <v>0</v>
      </c>
      <c r="E610" s="31" t="s">
        <v>106</v>
      </c>
      <c r="F610" s="23"/>
      <c r="G610" s="23"/>
      <c r="H610" s="23"/>
      <c r="I610" s="23"/>
      <c r="J610" s="23"/>
      <c r="K610" s="23"/>
      <c r="L610" s="23"/>
      <c r="M610" s="23"/>
      <c r="N610" s="23"/>
    </row>
    <row r="611" spans="2:14" s="2" customFormat="1" ht="12.9" customHeight="1">
      <c r="B611" s="31" t="s">
        <v>108</v>
      </c>
      <c r="C611" s="16">
        <f t="shared" si="273"/>
        <v>0</v>
      </c>
      <c r="E611" s="31" t="s">
        <v>108</v>
      </c>
      <c r="F611" s="23"/>
      <c r="G611" s="23"/>
      <c r="H611" s="23"/>
      <c r="I611" s="23"/>
      <c r="J611" s="23"/>
      <c r="K611" s="23"/>
      <c r="L611" s="23"/>
      <c r="M611" s="23"/>
      <c r="N611" s="23"/>
    </row>
    <row r="612" spans="2:14" s="2" customFormat="1" ht="12.9" customHeight="1">
      <c r="B612" s="33" t="s">
        <v>109</v>
      </c>
      <c r="C612" s="16">
        <f t="shared" si="273"/>
        <v>0</v>
      </c>
      <c r="E612" s="33" t="s">
        <v>109</v>
      </c>
      <c r="F612" s="23"/>
      <c r="G612" s="23"/>
      <c r="H612" s="23"/>
      <c r="I612" s="23"/>
      <c r="J612" s="23"/>
      <c r="K612" s="23"/>
      <c r="L612" s="23"/>
      <c r="M612" s="23"/>
      <c r="N612" s="23"/>
    </row>
    <row r="613" spans="2:14" s="2" customFormat="1" ht="12.9" customHeight="1">
      <c r="B613" s="34" t="s">
        <v>141</v>
      </c>
      <c r="C613" s="16">
        <f t="shared" si="273"/>
        <v>0</v>
      </c>
      <c r="E613" s="34" t="s">
        <v>141</v>
      </c>
      <c r="F613" s="23"/>
      <c r="G613" s="23"/>
      <c r="H613" s="23"/>
      <c r="I613" s="23"/>
      <c r="J613" s="23"/>
      <c r="K613" s="23"/>
      <c r="L613" s="23"/>
      <c r="M613" s="23"/>
      <c r="N613" s="23"/>
    </row>
    <row r="614" spans="2:14" s="2" customFormat="1" ht="12.9" customHeight="1">
      <c r="B614" s="34" t="s">
        <v>113</v>
      </c>
      <c r="C614" s="16">
        <f t="shared" si="273"/>
        <v>0</v>
      </c>
      <c r="E614" s="34" t="s">
        <v>113</v>
      </c>
      <c r="F614" s="23"/>
      <c r="G614" s="23"/>
      <c r="H614" s="23"/>
      <c r="I614" s="23"/>
      <c r="J614" s="23"/>
      <c r="K614" s="23"/>
      <c r="L614" s="23"/>
      <c r="M614" s="23"/>
      <c r="N614" s="23"/>
    </row>
    <row r="615" spans="2:14" s="2" customFormat="1" ht="12.9" customHeight="1">
      <c r="B615" s="34" t="s">
        <v>115</v>
      </c>
      <c r="C615" s="16">
        <f t="shared" si="273"/>
        <v>0</v>
      </c>
      <c r="E615" s="34" t="s">
        <v>115</v>
      </c>
      <c r="F615" s="23"/>
      <c r="G615" s="23"/>
      <c r="H615" s="23"/>
      <c r="I615" s="23"/>
      <c r="J615" s="23"/>
      <c r="K615" s="23"/>
      <c r="L615" s="23"/>
      <c r="M615" s="23"/>
      <c r="N615" s="23"/>
    </row>
    <row r="616" spans="2:14" s="2" customFormat="1" ht="12.9" customHeight="1">
      <c r="B616" s="35" t="s">
        <v>117</v>
      </c>
      <c r="C616" s="16">
        <f t="shared" si="273"/>
        <v>0</v>
      </c>
      <c r="E616" s="35" t="s">
        <v>117</v>
      </c>
      <c r="F616" s="23"/>
      <c r="G616" s="23"/>
      <c r="H616" s="23"/>
      <c r="I616" s="23"/>
      <c r="J616" s="23"/>
      <c r="K616" s="23"/>
      <c r="L616" s="23"/>
      <c r="M616" s="23"/>
      <c r="N616" s="23"/>
    </row>
    <row r="617" spans="2:14" s="2" customFormat="1" ht="12.9" customHeight="1">
      <c r="B617" s="39" t="s">
        <v>119</v>
      </c>
      <c r="C617" s="16">
        <f t="shared" si="273"/>
        <v>-51.68</v>
      </c>
      <c r="E617" s="39" t="s">
        <v>119</v>
      </c>
      <c r="F617" s="50">
        <f>+F77</f>
        <v>-40.68</v>
      </c>
      <c r="G617" s="50">
        <f t="shared" ref="G617:N617" si="281">+G77</f>
        <v>-40.68</v>
      </c>
      <c r="H617" s="50">
        <f t="shared" si="281"/>
        <v>-40.68</v>
      </c>
      <c r="I617" s="50">
        <f t="shared" si="281"/>
        <v>-51.68</v>
      </c>
      <c r="J617" s="50">
        <f t="shared" si="281"/>
        <v>-51.68</v>
      </c>
      <c r="K617" s="50">
        <f t="shared" si="281"/>
        <v>-51.68</v>
      </c>
      <c r="L617" s="50">
        <f t="shared" si="281"/>
        <v>-51.68</v>
      </c>
      <c r="M617" s="50">
        <f t="shared" si="281"/>
        <v>-51.68</v>
      </c>
      <c r="N617" s="50">
        <f t="shared" si="281"/>
        <v>-51.68</v>
      </c>
    </row>
    <row r="618" spans="2:14" s="2" customFormat="1" ht="12.9" customHeight="1">
      <c r="B618" s="39" t="s">
        <v>121</v>
      </c>
      <c r="C618" s="16">
        <f t="shared" si="273"/>
        <v>118.04</v>
      </c>
      <c r="E618" s="39" t="s">
        <v>121</v>
      </c>
      <c r="F618" s="50">
        <f>+F78</f>
        <v>-92.9</v>
      </c>
      <c r="G618" s="50">
        <f t="shared" ref="G618:N618" si="282">+G78</f>
        <v>-92.9</v>
      </c>
      <c r="H618" s="50">
        <f t="shared" si="282"/>
        <v>-92.9</v>
      </c>
      <c r="I618" s="50">
        <f t="shared" si="282"/>
        <v>118.04</v>
      </c>
      <c r="J618" s="50">
        <f t="shared" si="282"/>
        <v>118.04</v>
      </c>
      <c r="K618" s="50">
        <f t="shared" si="282"/>
        <v>118.04</v>
      </c>
      <c r="L618" s="50">
        <f t="shared" si="282"/>
        <v>118.04</v>
      </c>
      <c r="M618" s="50">
        <f t="shared" si="282"/>
        <v>118.04</v>
      </c>
      <c r="N618" s="50">
        <f t="shared" si="282"/>
        <v>118.04</v>
      </c>
    </row>
    <row r="619" spans="2:14">
      <c r="B619" s="41" t="s">
        <v>80</v>
      </c>
      <c r="C619" s="16">
        <f t="shared" si="273"/>
        <v>44993.01999999999</v>
      </c>
      <c r="E619" s="42" t="s">
        <v>80</v>
      </c>
      <c r="F619" s="3">
        <f>((+F594+F598+F599+F600)*12)+(F596*INT($C$3/3)*12)+((F595+F598)*2)+((F599+F600)*2)+(F608*14)+(F597*INT($C$3/3)*2)+(IF($C$4="s",F612,0))+(((IF(INT($C$3/3)&lt;6,F601,0))+(IF(AND(INT($C$3/6)&gt;0,INT($C$3/6)&lt;2),F602,0))+(IF(AND(INT($C$3/6)&gt;1,INT($C$3/6)&lt;3),F602+F603,0))+(IF(AND(INT($C$3/6)&gt;2,INT($C$3/6)&lt;4),F602+F603+F604,0))+(IF(AND(INT($C$3/6)&gt;3,INT($C$3/6)&lt;5),F602+F603+F604+F605,0))+(IF(INT($C$3/6)&gt;4,F602+F603+F604+F605+F606,0)))*12)+(IF($C$7="s",F607*12,0))++(((IF(INT($C$3/3)&lt;6,F601,0))+(IF(AND(INT($C$3/6)&gt;0,INT($C$3/6)&lt;2),F602,0))+(IF(AND(INT($C$3/6)&gt;1,INT($C$3/6)&lt;3),F602+F603,0))+(IF(AND(INT($C$3/6)&gt;2,INT($C$3/6)&lt;4),F602+F603+F604,0))+(IF(AND(INT($C$3/6)&gt;3,INT($C$3/6)&lt;5),F602+F603+F604+F605,0))+(IF(INT($C$3/6)&gt;4,F602+F603+F604+F605+F606,0)))*2)+(F613*12)+(F614*2)</f>
        <v>39121.740000000005</v>
      </c>
      <c r="G619" s="3">
        <f t="shared" ref="G619:N619" si="283">((+G594+G598+G599+G600)*12)+(G596*INT($C$3/3)*12)+((G595+G598)*2)+((G599+G600)*2)+(G608*14)+(G597*INT($C$3/3)*2)+(IF($C$4="s",G612,0))+(((IF(INT($C$3/3)&lt;6,G601,0))+(IF(AND(INT($C$3/6)&gt;0,INT($C$3/6)&lt;2),G602,0))+(IF(AND(INT($C$3/6)&gt;1,INT($C$3/6)&lt;3),G602+G603,0))+(IF(AND(INT($C$3/6)&gt;2,INT($C$3/6)&lt;4),G602+G603+G604,0))+(IF(AND(INT($C$3/6)&gt;3,INT($C$3/6)&lt;5),G602+G603+G604+G605,0))+(IF(INT($C$3/6)&gt;4,G602+G603+G604+G605+G606,0)))*12)+(IF($C$7="s",G607*12,0))++(((IF(INT($C$3/3)&lt;6,G601,0))+(IF(AND(INT($C$3/6)&gt;0,INT($C$3/6)&lt;2),G602,0))+(IF(AND(INT($C$3/6)&gt;1,INT($C$3/6)&lt;3),G602+G603,0))+(IF(AND(INT($C$3/6)&gt;2,INT($C$3/6)&lt;4),G602+G603+G604,0))+(IF(AND(INT($C$3/6)&gt;3,INT($C$3/6)&lt;5),G602+G603+G604+G605,0))+(IF(INT($C$3/6)&gt;4,G602+G603+G604+G605+G606,0)))*2)+(G613*12)+(G614*2)</f>
        <v>42657.300000000017</v>
      </c>
      <c r="H619" s="3">
        <f t="shared" si="283"/>
        <v>42657.300000000017</v>
      </c>
      <c r="I619" s="3">
        <f t="shared" si="283"/>
        <v>44993.01999999999</v>
      </c>
      <c r="J619" s="3">
        <f t="shared" si="283"/>
        <v>44993.01999999999</v>
      </c>
      <c r="K619" s="3">
        <f t="shared" si="283"/>
        <v>44993.01999999999</v>
      </c>
      <c r="L619" s="3">
        <f t="shared" si="283"/>
        <v>44993.01999999999</v>
      </c>
      <c r="M619" s="3">
        <f t="shared" si="283"/>
        <v>47184.3</v>
      </c>
      <c r="N619" s="3">
        <f t="shared" si="283"/>
        <v>55619.580000000009</v>
      </c>
    </row>
    <row r="626" spans="2:32" s="2" customFormat="1" ht="12.9" customHeight="1">
      <c r="B626" s="9"/>
      <c r="C626" s="2" t="str">
        <f>+E627</f>
        <v>Navarra</v>
      </c>
      <c r="AB626" s="239" t="s">
        <v>300</v>
      </c>
    </row>
    <row r="627" spans="2:32" s="2" customFormat="1" ht="35.25" customHeight="1">
      <c r="C627" s="10" t="str">
        <f>+$C$11</f>
        <v>590-Profesores Enseñanza Secundaria</v>
      </c>
      <c r="E627" s="11" t="s">
        <v>42</v>
      </c>
      <c r="F627" s="12" t="s">
        <v>120</v>
      </c>
      <c r="G627" s="12" t="s">
        <v>110</v>
      </c>
      <c r="H627" s="12" t="s">
        <v>118</v>
      </c>
      <c r="I627" s="12" t="s">
        <v>4</v>
      </c>
      <c r="J627" s="12" t="s">
        <v>112</v>
      </c>
      <c r="K627" s="12" t="s">
        <v>114</v>
      </c>
      <c r="L627" s="12" t="s">
        <v>116</v>
      </c>
      <c r="M627" s="12" t="s">
        <v>107</v>
      </c>
      <c r="N627" s="12" t="s">
        <v>105</v>
      </c>
      <c r="O627" s="106">
        <v>46054</v>
      </c>
      <c r="Q627" s="14" t="s">
        <v>137</v>
      </c>
      <c r="R627" s="14"/>
      <c r="S627" s="60"/>
      <c r="T627" s="60"/>
      <c r="U627" s="60"/>
      <c r="V627" s="60"/>
      <c r="W627" s="14" t="s">
        <v>138</v>
      </c>
      <c r="X627" s="60"/>
      <c r="Y627" s="60"/>
      <c r="Z627" s="47"/>
      <c r="AA627" s="47"/>
      <c r="AB627" s="240"/>
      <c r="AC627" s="2" t="s">
        <v>301</v>
      </c>
    </row>
    <row r="628" spans="2:32" s="2" customFormat="1" ht="12.9" customHeight="1">
      <c r="B628" s="44" t="s">
        <v>91</v>
      </c>
      <c r="C628" s="16" t="str">
        <f>IF($C$11=$F$11,F628,IF($C$11=G$11,G628,IF($C$11=H$11,H628,IF($C$11=I$11,I628,IF($C$11=J$11,J628,IF($C$11=K$11,K628,IF($C$11=L$11,L628,IF($C$11=M$11,M628,N628))))))))</f>
        <v>A1</v>
      </c>
      <c r="E628" s="45" t="s">
        <v>91</v>
      </c>
      <c r="F628" s="17" t="s">
        <v>137</v>
      </c>
      <c r="G628" s="17" t="s">
        <v>137</v>
      </c>
      <c r="H628" s="17" t="s">
        <v>137</v>
      </c>
      <c r="I628" s="17" t="s">
        <v>138</v>
      </c>
      <c r="J628" s="17" t="s">
        <v>138</v>
      </c>
      <c r="K628" s="17" t="s">
        <v>138</v>
      </c>
      <c r="L628" s="17" t="s">
        <v>138</v>
      </c>
      <c r="M628" s="17" t="s">
        <v>138</v>
      </c>
      <c r="N628" s="17" t="s">
        <v>138</v>
      </c>
      <c r="Q628" s="47"/>
      <c r="R628" s="47" t="s">
        <v>20</v>
      </c>
      <c r="S628" s="47" t="s">
        <v>123</v>
      </c>
      <c r="T628" s="47" t="s">
        <v>126</v>
      </c>
      <c r="U628" s="47" t="s">
        <v>129</v>
      </c>
      <c r="V628" s="47" t="s">
        <v>130</v>
      </c>
      <c r="W628" s="47" t="s">
        <v>20</v>
      </c>
      <c r="X628" s="47" t="s">
        <v>123</v>
      </c>
      <c r="Y628" s="47" t="s">
        <v>126</v>
      </c>
      <c r="Z628" s="47" t="s">
        <v>129</v>
      </c>
      <c r="AA628" s="47" t="s">
        <v>130</v>
      </c>
      <c r="AB628" s="109" t="s">
        <v>137</v>
      </c>
      <c r="AC628" s="110" t="s">
        <v>138</v>
      </c>
    </row>
    <row r="629" spans="2:32" s="2" customFormat="1" ht="12.9" customHeight="1">
      <c r="B629" s="44" t="str">
        <f>+E629</f>
        <v>Nivel</v>
      </c>
      <c r="C629" s="18">
        <f t="shared" ref="C629:C655" si="284">IF($C$11=$F$11,F629,IF($C$11=G$11,G629,IF($C$11=H$11,H629,IF($C$11=I$11,I629,IF($C$11=J$11,J629,IF($C$11=K$11,K629,IF($C$11=L$11,L629,IF($C$11=M$11,M629,N629))))))))</f>
        <v>24</v>
      </c>
      <c r="E629" s="45" t="s">
        <v>144</v>
      </c>
      <c r="F629" s="17">
        <v>21</v>
      </c>
      <c r="G629" s="17">
        <v>24</v>
      </c>
      <c r="H629" s="17">
        <v>24</v>
      </c>
      <c r="I629" s="17">
        <v>24</v>
      </c>
      <c r="J629" s="17">
        <v>24</v>
      </c>
      <c r="K629" s="17">
        <v>24</v>
      </c>
      <c r="L629" s="17">
        <v>24</v>
      </c>
      <c r="M629" s="17">
        <v>26</v>
      </c>
      <c r="N629" s="17">
        <v>26</v>
      </c>
      <c r="P629" s="2" t="s">
        <v>302</v>
      </c>
      <c r="Q629" s="47" t="s">
        <v>124</v>
      </c>
      <c r="R629" s="47">
        <v>0</v>
      </c>
      <c r="S629" s="19">
        <v>665.07</v>
      </c>
      <c r="T629" s="19">
        <v>323.04000000000002</v>
      </c>
      <c r="U629" s="19">
        <v>323.04000000000002</v>
      </c>
      <c r="V629" s="19">
        <f>U629</f>
        <v>323.04000000000002</v>
      </c>
      <c r="W629" s="47">
        <v>0</v>
      </c>
      <c r="X629" s="19">
        <v>790.56</v>
      </c>
      <c r="Y629" s="19">
        <v>383.99</v>
      </c>
      <c r="Z629" s="19">
        <f>Y629</f>
        <v>383.99</v>
      </c>
      <c r="AA629" s="59">
        <f>Z629</f>
        <v>383.99</v>
      </c>
      <c r="AB629" s="111" t="s">
        <v>303</v>
      </c>
      <c r="AC629" s="111" t="s">
        <v>303</v>
      </c>
      <c r="AE629" s="2" t="s">
        <v>304</v>
      </c>
      <c r="AF629" s="109" t="s">
        <v>305</v>
      </c>
    </row>
    <row r="630" spans="2:32" s="2" customFormat="1" ht="12.9" customHeight="1">
      <c r="B630" s="22" t="s">
        <v>43</v>
      </c>
      <c r="C630" s="21">
        <f t="shared" si="284"/>
        <v>2258.75</v>
      </c>
      <c r="E630" s="22" t="s">
        <v>43</v>
      </c>
      <c r="F630" s="46">
        <v>1900.21</v>
      </c>
      <c r="G630" s="23">
        <f t="shared" ref="G630:H634" si="285">+F630</f>
        <v>1900.21</v>
      </c>
      <c r="H630" s="23">
        <f t="shared" si="285"/>
        <v>1900.21</v>
      </c>
      <c r="I630" s="46">
        <v>2258.75</v>
      </c>
      <c r="J630" s="86">
        <f t="shared" ref="J630:N631" si="286">+I630</f>
        <v>2258.75</v>
      </c>
      <c r="K630" s="86">
        <f t="shared" si="286"/>
        <v>2258.75</v>
      </c>
      <c r="L630" s="86">
        <f t="shared" si="286"/>
        <v>2258.75</v>
      </c>
      <c r="M630" s="86">
        <f t="shared" si="286"/>
        <v>2258.75</v>
      </c>
      <c r="N630" s="86">
        <f t="shared" si="286"/>
        <v>2258.75</v>
      </c>
      <c r="P630" s="2" t="s">
        <v>306</v>
      </c>
      <c r="Q630" s="47" t="s">
        <v>127</v>
      </c>
      <c r="R630" s="47">
        <v>0</v>
      </c>
      <c r="S630" s="19">
        <v>608.07000000000005</v>
      </c>
      <c r="T630" s="19">
        <v>323.04000000000002</v>
      </c>
      <c r="U630" s="19">
        <v>323.04000000000002</v>
      </c>
      <c r="V630" s="19">
        <f t="shared" ref="V630:V631" si="287">U630</f>
        <v>323.04000000000002</v>
      </c>
      <c r="W630" s="47">
        <v>0</v>
      </c>
      <c r="X630" s="19">
        <v>722.8</v>
      </c>
      <c r="Y630" s="59">
        <f>Y629</f>
        <v>383.99</v>
      </c>
      <c r="Z630" s="19">
        <f>Y630</f>
        <v>383.99</v>
      </c>
      <c r="AA630" s="59">
        <f t="shared" ref="AA630:AA632" si="288">Z630</f>
        <v>383.99</v>
      </c>
      <c r="AB630" s="112"/>
      <c r="AC630" s="112"/>
      <c r="AE630" s="2" t="s">
        <v>307</v>
      </c>
      <c r="AF630" s="109" t="s">
        <v>308</v>
      </c>
    </row>
    <row r="631" spans="2:32" s="2" customFormat="1" ht="12.9" customHeight="1">
      <c r="B631" s="22" t="s">
        <v>92</v>
      </c>
      <c r="C631" s="21">
        <f t="shared" si="284"/>
        <v>2258.75</v>
      </c>
      <c r="E631" s="22" t="s">
        <v>92</v>
      </c>
      <c r="F631" s="25">
        <f>+F630</f>
        <v>1900.21</v>
      </c>
      <c r="G631" s="23">
        <f t="shared" si="285"/>
        <v>1900.21</v>
      </c>
      <c r="H631" s="23">
        <f t="shared" si="285"/>
        <v>1900.21</v>
      </c>
      <c r="I631" s="25">
        <f>+I630</f>
        <v>2258.75</v>
      </c>
      <c r="J631" s="86">
        <f t="shared" si="286"/>
        <v>2258.75</v>
      </c>
      <c r="K631" s="86">
        <f t="shared" si="286"/>
        <v>2258.75</v>
      </c>
      <c r="L631" s="86">
        <f t="shared" si="286"/>
        <v>2258.75</v>
      </c>
      <c r="M631" s="86">
        <f t="shared" si="286"/>
        <v>2258.75</v>
      </c>
      <c r="N631" s="86">
        <f t="shared" si="286"/>
        <v>2258.75</v>
      </c>
      <c r="P631" s="2" t="s">
        <v>309</v>
      </c>
      <c r="Q631" s="47" t="s">
        <v>22</v>
      </c>
      <c r="R631" s="47">
        <v>0</v>
      </c>
      <c r="S631" s="19">
        <v>551.08000000000004</v>
      </c>
      <c r="T631" s="19">
        <v>285.02999999999997</v>
      </c>
      <c r="U631" s="19">
        <v>285.02999999999997</v>
      </c>
      <c r="V631" s="19">
        <f t="shared" si="287"/>
        <v>285.02999999999997</v>
      </c>
      <c r="W631" s="47">
        <v>0</v>
      </c>
      <c r="X631" s="19">
        <v>655.04</v>
      </c>
      <c r="Y631" s="19">
        <v>338.81</v>
      </c>
      <c r="Z631" s="19">
        <f>Y631</f>
        <v>338.81</v>
      </c>
      <c r="AA631" s="59">
        <f t="shared" si="288"/>
        <v>338.81</v>
      </c>
      <c r="AB631" s="113"/>
      <c r="AC631" s="113"/>
      <c r="AE631" s="2" t="s">
        <v>310</v>
      </c>
      <c r="AF631" s="109" t="s">
        <v>311</v>
      </c>
    </row>
    <row r="632" spans="2:32" s="2" customFormat="1" ht="12.9" customHeight="1">
      <c r="B632" s="22" t="s">
        <v>93</v>
      </c>
      <c r="C632" s="21">
        <f t="shared" si="284"/>
        <v>0</v>
      </c>
      <c r="E632" s="22" t="s">
        <v>93</v>
      </c>
      <c r="F632" s="23"/>
      <c r="G632" s="23">
        <f t="shared" si="285"/>
        <v>0</v>
      </c>
      <c r="H632" s="23">
        <f t="shared" si="285"/>
        <v>0</v>
      </c>
      <c r="I632" s="23"/>
      <c r="J632" s="23"/>
      <c r="K632" s="23"/>
      <c r="L632" s="23"/>
      <c r="M632" s="23"/>
      <c r="N632" s="23"/>
      <c r="P632" s="2" t="s">
        <v>312</v>
      </c>
      <c r="Q632" s="47" t="s">
        <v>131</v>
      </c>
      <c r="R632" s="47">
        <v>0</v>
      </c>
      <c r="S632" s="19">
        <v>456.05</v>
      </c>
      <c r="T632" s="19">
        <v>285.02999999999997</v>
      </c>
      <c r="U632" s="19">
        <v>285.02999999999997</v>
      </c>
      <c r="V632" s="19">
        <v>247.03</v>
      </c>
      <c r="W632" s="47">
        <v>0</v>
      </c>
      <c r="X632" s="59">
        <f>X631</f>
        <v>655.04</v>
      </c>
      <c r="Y632" s="59">
        <f>Y631</f>
        <v>338.81</v>
      </c>
      <c r="Z632" s="19">
        <f>Y632</f>
        <v>338.81</v>
      </c>
      <c r="AA632" s="59">
        <f t="shared" si="288"/>
        <v>338.81</v>
      </c>
      <c r="AB632" s="113"/>
      <c r="AC632" s="113"/>
      <c r="AE632" s="2" t="s">
        <v>313</v>
      </c>
      <c r="AF632" s="109" t="s">
        <v>314</v>
      </c>
    </row>
    <row r="633" spans="2:32" s="2" customFormat="1" ht="12.9" customHeight="1">
      <c r="B633" s="22" t="s">
        <v>95</v>
      </c>
      <c r="C633" s="21">
        <f t="shared" si="284"/>
        <v>0</v>
      </c>
      <c r="E633" s="22" t="s">
        <v>95</v>
      </c>
      <c r="F633" s="25"/>
      <c r="G633" s="23">
        <f t="shared" si="285"/>
        <v>0</v>
      </c>
      <c r="H633" s="23">
        <f t="shared" si="285"/>
        <v>0</v>
      </c>
      <c r="I633" s="25"/>
      <c r="J633" s="25"/>
      <c r="K633" s="25"/>
      <c r="L633" s="25"/>
      <c r="M633" s="25"/>
      <c r="N633" s="25"/>
      <c r="P633" s="2" t="s">
        <v>315</v>
      </c>
      <c r="Q633" s="47" t="s">
        <v>133</v>
      </c>
      <c r="R633" s="47">
        <v>0</v>
      </c>
      <c r="S633" s="19">
        <v>361.04</v>
      </c>
      <c r="T633" s="19">
        <v>285.02999999999997</v>
      </c>
      <c r="U633" s="19">
        <v>285.02999999999997</v>
      </c>
      <c r="V633" s="19"/>
      <c r="W633" s="47">
        <v>0</v>
      </c>
      <c r="X633" s="26"/>
      <c r="Y633" s="26"/>
      <c r="Z633" s="19"/>
      <c r="AA633" s="26"/>
      <c r="AB633" s="113"/>
      <c r="AC633" s="113"/>
      <c r="AE633" s="2" t="s">
        <v>316</v>
      </c>
      <c r="AF633" s="109" t="s">
        <v>317</v>
      </c>
    </row>
    <row r="634" spans="2:32" s="2" customFormat="1" ht="12.9" customHeight="1">
      <c r="B634" s="22" t="s">
        <v>46</v>
      </c>
      <c r="C634" s="21">
        <f t="shared" si="284"/>
        <v>0</v>
      </c>
      <c r="E634" s="22" t="s">
        <v>46</v>
      </c>
      <c r="F634" s="23"/>
      <c r="G634" s="23">
        <f t="shared" si="285"/>
        <v>0</v>
      </c>
      <c r="H634" s="23">
        <f t="shared" si="285"/>
        <v>0</v>
      </c>
      <c r="I634" s="23"/>
      <c r="J634" s="23"/>
      <c r="K634" s="23"/>
      <c r="L634" s="23"/>
      <c r="M634" s="23"/>
      <c r="N634" s="23"/>
      <c r="P634" s="2" t="s">
        <v>318</v>
      </c>
      <c r="Q634" s="47" t="s">
        <v>134</v>
      </c>
      <c r="R634" s="47">
        <v>0</v>
      </c>
      <c r="S634" s="19">
        <v>228.03</v>
      </c>
      <c r="T634" s="19">
        <v>285.02999999999997</v>
      </c>
      <c r="U634" s="26"/>
      <c r="V634" s="26"/>
      <c r="W634" s="47">
        <v>0</v>
      </c>
      <c r="X634" s="26"/>
      <c r="Y634" s="26"/>
      <c r="Z634" s="19"/>
      <c r="AA634" s="26"/>
      <c r="AB634" s="113"/>
      <c r="AC634" s="113"/>
      <c r="AE634" s="2" t="s">
        <v>319</v>
      </c>
      <c r="AF634" s="109" t="s">
        <v>320</v>
      </c>
    </row>
    <row r="635" spans="2:32" s="2" customFormat="1" ht="12.9" customHeight="1">
      <c r="B635" s="22" t="s">
        <v>48</v>
      </c>
      <c r="C635" s="21">
        <f t="shared" si="284"/>
        <v>756.23</v>
      </c>
      <c r="E635" s="22" t="s">
        <v>48</v>
      </c>
      <c r="F635" s="27">
        <v>723.41</v>
      </c>
      <c r="G635" s="27">
        <v>858.32</v>
      </c>
      <c r="H635" s="23">
        <f>+G635</f>
        <v>858.32</v>
      </c>
      <c r="I635" s="27">
        <v>756.23</v>
      </c>
      <c r="J635" s="23">
        <f>+I635</f>
        <v>756.23</v>
      </c>
      <c r="K635" s="23">
        <f>+J635</f>
        <v>756.23</v>
      </c>
      <c r="L635" s="23">
        <f>+K635</f>
        <v>756.23</v>
      </c>
      <c r="M635" s="27">
        <v>891.75</v>
      </c>
      <c r="N635" s="28">
        <v>1087.51</v>
      </c>
      <c r="W635" s="2" t="s">
        <v>321</v>
      </c>
      <c r="AB635" s="109" t="s">
        <v>137</v>
      </c>
      <c r="AC635" s="110" t="s">
        <v>138</v>
      </c>
      <c r="AF635" s="109"/>
    </row>
    <row r="636" spans="2:32" s="2" customFormat="1" ht="12.9" customHeight="1">
      <c r="B636" s="29" t="s">
        <v>49</v>
      </c>
      <c r="C636" s="21">
        <f t="shared" si="284"/>
        <v>0</v>
      </c>
      <c r="E636" s="29" t="s">
        <v>49</v>
      </c>
      <c r="F636" s="23"/>
      <c r="G636" s="23"/>
      <c r="H636" s="23"/>
      <c r="I636" s="23"/>
      <c r="J636" s="23"/>
      <c r="K636" s="23"/>
      <c r="L636" s="23"/>
      <c r="M636" s="23"/>
      <c r="N636" s="107">
        <v>353.53</v>
      </c>
      <c r="T636" s="47" t="s">
        <v>322</v>
      </c>
      <c r="W636" s="2" t="s">
        <v>323</v>
      </c>
      <c r="AB636" s="114">
        <v>0</v>
      </c>
      <c r="AC636" s="114">
        <v>0</v>
      </c>
      <c r="AE636" s="2" t="s">
        <v>304</v>
      </c>
      <c r="AF636" s="110"/>
    </row>
    <row r="637" spans="2:32" s="2" customFormat="1" ht="12.9" customHeight="1">
      <c r="B637" s="29" t="s">
        <v>19</v>
      </c>
      <c r="C637" s="21">
        <f t="shared" si="284"/>
        <v>338.81</v>
      </c>
      <c r="E637" s="29" t="s">
        <v>19</v>
      </c>
      <c r="F637" s="30">
        <f>IF($C$1=F627,'Nómina mensual'!$T$29,0)</f>
        <v>0</v>
      </c>
      <c r="G637" s="30">
        <f>IF($C$1=G627,'Nómina mensual'!$T$29,0)</f>
        <v>0</v>
      </c>
      <c r="H637" s="30">
        <f>IF($C$1=H627,'Nómina mensual'!$T$29,0)</f>
        <v>0</v>
      </c>
      <c r="I637" s="30">
        <f>IF($C$1=I627,'Nómina mensual'!$T$29,0)</f>
        <v>338.81</v>
      </c>
      <c r="J637" s="30">
        <f>IF($C$1=J627,'Nómina mensual'!$T$29,0)</f>
        <v>0</v>
      </c>
      <c r="K637" s="30">
        <f>IF($C$1=K627,'Nómina mensual'!$T$29,0)</f>
        <v>0</v>
      </c>
      <c r="L637" s="30">
        <f>IF($C$1=L627,'Nómina mensual'!$T$29,0)</f>
        <v>0</v>
      </c>
      <c r="M637" s="30">
        <f>IF($C$1=M627,'Nómina mensual'!$T$29,0)</f>
        <v>0</v>
      </c>
      <c r="N637" s="30"/>
      <c r="T637" s="47" t="s">
        <v>324</v>
      </c>
      <c r="AB637" s="114"/>
      <c r="AC637" s="114"/>
      <c r="AF637" s="110"/>
    </row>
    <row r="638" spans="2:32" s="2" customFormat="1" ht="12.9" customHeight="1">
      <c r="B638" s="29" t="s">
        <v>51</v>
      </c>
      <c r="C638" s="21">
        <f t="shared" si="284"/>
        <v>24.15</v>
      </c>
      <c r="E638" s="29" t="s">
        <v>51</v>
      </c>
      <c r="F638" s="23">
        <f>AB638</f>
        <v>24.15</v>
      </c>
      <c r="G638" s="23">
        <f t="shared" ref="G638:G650" si="289">+F638</f>
        <v>24.15</v>
      </c>
      <c r="H638" s="23">
        <f t="shared" ref="H638:N638" si="290">+G638</f>
        <v>24.15</v>
      </c>
      <c r="I638" s="86">
        <f>AC638</f>
        <v>24.15</v>
      </c>
      <c r="J638" s="23">
        <f t="shared" si="290"/>
        <v>24.15</v>
      </c>
      <c r="K638" s="23">
        <f t="shared" si="290"/>
        <v>24.15</v>
      </c>
      <c r="L638" s="23">
        <f t="shared" si="290"/>
        <v>24.15</v>
      </c>
      <c r="M638" s="23">
        <f t="shared" si="290"/>
        <v>24.15</v>
      </c>
      <c r="N638" s="23">
        <f t="shared" si="290"/>
        <v>24.15</v>
      </c>
      <c r="O638" s="2">
        <v>5</v>
      </c>
      <c r="T638" s="47" t="s">
        <v>325</v>
      </c>
      <c r="W638" s="2" t="s">
        <v>326</v>
      </c>
      <c r="AB638" s="114">
        <v>24.15</v>
      </c>
      <c r="AC638" s="114">
        <v>24.15</v>
      </c>
      <c r="AF638" s="110"/>
    </row>
    <row r="639" spans="2:32" s="2" customFormat="1" ht="12.9" customHeight="1">
      <c r="B639" s="29" t="s">
        <v>53</v>
      </c>
      <c r="C639" s="21">
        <f t="shared" si="284"/>
        <v>227.44</v>
      </c>
      <c r="E639" s="29" t="s">
        <v>53</v>
      </c>
      <c r="F639" s="23">
        <f t="shared" ref="F639:F650" si="291">AB639</f>
        <v>195.17</v>
      </c>
      <c r="G639" s="23">
        <f t="shared" si="289"/>
        <v>195.17</v>
      </c>
      <c r="H639" s="23">
        <f>+G639</f>
        <v>195.17</v>
      </c>
      <c r="I639" s="86">
        <f t="shared" ref="I639:I650" si="292">AC639</f>
        <v>227.44</v>
      </c>
      <c r="J639" s="23">
        <f t="shared" ref="J639:N639" si="293">+I639</f>
        <v>227.44</v>
      </c>
      <c r="K639" s="23">
        <f t="shared" si="293"/>
        <v>227.44</v>
      </c>
      <c r="L639" s="23">
        <f t="shared" si="293"/>
        <v>227.44</v>
      </c>
      <c r="M639" s="23">
        <f t="shared" si="293"/>
        <v>227.44</v>
      </c>
      <c r="N639" s="23">
        <f t="shared" si="293"/>
        <v>227.44</v>
      </c>
      <c r="O639" s="2">
        <v>6.5833300000000001</v>
      </c>
      <c r="AB639" s="115">
        <v>195.17</v>
      </c>
      <c r="AC639" s="115">
        <v>227.44</v>
      </c>
      <c r="AD639" s="116"/>
      <c r="AE639" s="2" t="s">
        <v>307</v>
      </c>
      <c r="AF639" s="109"/>
    </row>
    <row r="640" spans="2:32" s="2" customFormat="1" ht="12.9" customHeight="1">
      <c r="B640" s="29" t="s">
        <v>55</v>
      </c>
      <c r="C640" s="21">
        <f t="shared" si="284"/>
        <v>251.59</v>
      </c>
      <c r="E640" s="29" t="s">
        <v>55</v>
      </c>
      <c r="F640" s="23">
        <f t="shared" si="291"/>
        <v>219.32</v>
      </c>
      <c r="G640" s="23">
        <f t="shared" si="289"/>
        <v>219.32</v>
      </c>
      <c r="H640" s="23">
        <f>+AB642</f>
        <v>408.45</v>
      </c>
      <c r="I640" s="86">
        <f t="shared" si="292"/>
        <v>251.59</v>
      </c>
      <c r="J640" s="23">
        <f t="shared" ref="J640:N650" si="294">+I640</f>
        <v>251.59</v>
      </c>
      <c r="K640" s="23">
        <f t="shared" si="294"/>
        <v>251.59</v>
      </c>
      <c r="L640" s="23">
        <f t="shared" si="294"/>
        <v>251.59</v>
      </c>
      <c r="M640" s="23">
        <f t="shared" si="294"/>
        <v>251.59</v>
      </c>
      <c r="N640" s="23">
        <f t="shared" si="294"/>
        <v>251.59</v>
      </c>
      <c r="O640" s="2">
        <v>10</v>
      </c>
      <c r="AB640" s="114">
        <v>219.32</v>
      </c>
      <c r="AC640" s="115">
        <v>251.59</v>
      </c>
      <c r="AD640" s="116"/>
      <c r="AE640" s="2" t="s">
        <v>327</v>
      </c>
      <c r="AF640" s="109"/>
    </row>
    <row r="641" spans="2:32" s="2" customFormat="1" ht="12.9" customHeight="1">
      <c r="B641" s="29" t="s">
        <v>57</v>
      </c>
      <c r="C641" s="21">
        <f t="shared" si="284"/>
        <v>454.88</v>
      </c>
      <c r="E641" s="29" t="s">
        <v>57</v>
      </c>
      <c r="F641" s="23">
        <f t="shared" si="291"/>
        <v>390.34</v>
      </c>
      <c r="G641" s="23">
        <f t="shared" si="289"/>
        <v>390.34</v>
      </c>
      <c r="H641" s="23">
        <f t="shared" ref="H641:H650" si="295">+G641</f>
        <v>390.34</v>
      </c>
      <c r="I641" s="86">
        <f t="shared" si="292"/>
        <v>454.88</v>
      </c>
      <c r="J641" s="23">
        <f t="shared" si="294"/>
        <v>454.88</v>
      </c>
      <c r="K641" s="23">
        <f t="shared" si="294"/>
        <v>454.88</v>
      </c>
      <c r="L641" s="23">
        <f t="shared" si="294"/>
        <v>454.88</v>
      </c>
      <c r="M641" s="23">
        <f t="shared" si="294"/>
        <v>454.88</v>
      </c>
      <c r="N641" s="23">
        <f t="shared" si="294"/>
        <v>454.88</v>
      </c>
      <c r="O641" s="2">
        <v>13.16667</v>
      </c>
      <c r="AB641" s="112">
        <v>390.34</v>
      </c>
      <c r="AC641" s="115">
        <v>454.88</v>
      </c>
      <c r="AD641" s="116"/>
      <c r="AE641" s="117" t="s">
        <v>328</v>
      </c>
      <c r="AF641" s="109" t="s">
        <v>329</v>
      </c>
    </row>
    <row r="642" spans="2:32" s="2" customFormat="1" ht="12.9" customHeight="1">
      <c r="B642" s="29" t="s">
        <v>59</v>
      </c>
      <c r="C642" s="21">
        <f t="shared" si="284"/>
        <v>472.99</v>
      </c>
      <c r="E642" s="29" t="s">
        <v>59</v>
      </c>
      <c r="F642" s="23">
        <f t="shared" si="291"/>
        <v>408.45</v>
      </c>
      <c r="G642" s="23">
        <f t="shared" si="289"/>
        <v>408.45</v>
      </c>
      <c r="H642" s="23">
        <f t="shared" si="295"/>
        <v>408.45</v>
      </c>
      <c r="I642" s="86">
        <f t="shared" si="292"/>
        <v>472.99</v>
      </c>
      <c r="J642" s="23">
        <f t="shared" si="294"/>
        <v>472.99</v>
      </c>
      <c r="K642" s="23">
        <f t="shared" si="294"/>
        <v>472.99</v>
      </c>
      <c r="L642" s="23">
        <f t="shared" si="294"/>
        <v>472.99</v>
      </c>
      <c r="M642" s="23">
        <f t="shared" si="294"/>
        <v>472.99</v>
      </c>
      <c r="N642" s="23">
        <f t="shared" si="294"/>
        <v>472.99</v>
      </c>
      <c r="O642" s="2">
        <v>15</v>
      </c>
      <c r="AB642" s="112">
        <v>408.45</v>
      </c>
      <c r="AC642" s="115">
        <v>472.99</v>
      </c>
      <c r="AD642" s="116"/>
      <c r="AE642" s="117" t="s">
        <v>330</v>
      </c>
      <c r="AF642" s="109" t="s">
        <v>329</v>
      </c>
    </row>
    <row r="643" spans="2:32" s="2" customFormat="1" ht="12.9" customHeight="1">
      <c r="B643" s="29" t="s">
        <v>61</v>
      </c>
      <c r="C643" s="21">
        <f t="shared" si="284"/>
        <v>676.28</v>
      </c>
      <c r="E643" s="29" t="s">
        <v>61</v>
      </c>
      <c r="F643" s="23">
        <f t="shared" si="291"/>
        <v>579.47</v>
      </c>
      <c r="G643" s="23">
        <f t="shared" si="289"/>
        <v>579.47</v>
      </c>
      <c r="H643" s="23">
        <f t="shared" si="295"/>
        <v>579.47</v>
      </c>
      <c r="I643" s="86">
        <f t="shared" si="292"/>
        <v>676.28</v>
      </c>
      <c r="J643" s="23">
        <f t="shared" si="294"/>
        <v>676.28</v>
      </c>
      <c r="K643" s="23">
        <f t="shared" si="294"/>
        <v>676.28</v>
      </c>
      <c r="L643" s="23">
        <f t="shared" si="294"/>
        <v>676.28</v>
      </c>
      <c r="M643" s="23">
        <f t="shared" si="294"/>
        <v>676.28</v>
      </c>
      <c r="N643" s="23">
        <f t="shared" si="294"/>
        <v>676.28</v>
      </c>
      <c r="O643" s="2">
        <v>19.75</v>
      </c>
      <c r="AB643" s="112">
        <v>579.47</v>
      </c>
      <c r="AC643" s="115">
        <v>676.28</v>
      </c>
      <c r="AD643" s="116"/>
      <c r="AE643" s="2" t="s">
        <v>331</v>
      </c>
      <c r="AF643" s="109"/>
    </row>
    <row r="644" spans="2:32" s="2" customFormat="1" ht="12.9" customHeight="1">
      <c r="B644" s="29" t="s">
        <v>62</v>
      </c>
      <c r="C644" s="21">
        <f t="shared" si="284"/>
        <v>694.39</v>
      </c>
      <c r="E644" s="29" t="s">
        <v>62</v>
      </c>
      <c r="F644" s="23">
        <f t="shared" si="291"/>
        <v>597.59</v>
      </c>
      <c r="G644" s="23">
        <f t="shared" si="289"/>
        <v>597.59</v>
      </c>
      <c r="H644" s="23">
        <f t="shared" si="295"/>
        <v>597.59</v>
      </c>
      <c r="I644" s="86">
        <f t="shared" si="292"/>
        <v>694.39</v>
      </c>
      <c r="J644" s="23">
        <f t="shared" si="294"/>
        <v>694.39</v>
      </c>
      <c r="K644" s="23">
        <f t="shared" si="294"/>
        <v>694.39</v>
      </c>
      <c r="L644" s="23">
        <f t="shared" si="294"/>
        <v>694.39</v>
      </c>
      <c r="M644" s="23">
        <f t="shared" si="294"/>
        <v>694.39</v>
      </c>
      <c r="N644" s="23">
        <f t="shared" si="294"/>
        <v>694.39</v>
      </c>
      <c r="O644" s="2">
        <v>20</v>
      </c>
      <c r="AB644" s="112">
        <v>597.59</v>
      </c>
      <c r="AC644" s="115">
        <v>694.39</v>
      </c>
      <c r="AD644" s="116"/>
      <c r="AE644" s="2" t="s">
        <v>332</v>
      </c>
      <c r="AF644" s="109" t="s">
        <v>333</v>
      </c>
    </row>
    <row r="645" spans="2:32" s="2" customFormat="1" ht="12.9" customHeight="1">
      <c r="B645" s="29" t="s">
        <v>64</v>
      </c>
      <c r="C645" s="21">
        <f t="shared" si="284"/>
        <v>706.47</v>
      </c>
      <c r="E645" s="29" t="s">
        <v>64</v>
      </c>
      <c r="F645" s="23">
        <f t="shared" si="291"/>
        <v>609.66</v>
      </c>
      <c r="G645" s="23">
        <f t="shared" si="289"/>
        <v>609.66</v>
      </c>
      <c r="H645" s="23">
        <f t="shared" si="295"/>
        <v>609.66</v>
      </c>
      <c r="I645" s="86">
        <f t="shared" si="292"/>
        <v>706.47</v>
      </c>
      <c r="J645" s="23">
        <f t="shared" si="294"/>
        <v>706.47</v>
      </c>
      <c r="K645" s="23">
        <f t="shared" si="294"/>
        <v>706.47</v>
      </c>
      <c r="L645" s="23">
        <f t="shared" si="294"/>
        <v>706.47</v>
      </c>
      <c r="M645" s="23">
        <f t="shared" si="294"/>
        <v>706.47</v>
      </c>
      <c r="N645" s="23">
        <f t="shared" si="294"/>
        <v>706.47</v>
      </c>
      <c r="O645" s="2">
        <v>25</v>
      </c>
      <c r="AB645" s="112">
        <v>609.66</v>
      </c>
      <c r="AC645" s="115">
        <v>706.47</v>
      </c>
      <c r="AD645" s="116"/>
      <c r="AE645" s="2" t="s">
        <v>334</v>
      </c>
      <c r="AF645" s="109" t="s">
        <v>335</v>
      </c>
    </row>
    <row r="646" spans="2:32" s="2" customFormat="1" ht="12.9" customHeight="1">
      <c r="B646" s="31" t="s">
        <v>66</v>
      </c>
      <c r="C646" s="21">
        <f t="shared" si="284"/>
        <v>909.75</v>
      </c>
      <c r="E646" s="31" t="s">
        <v>66</v>
      </c>
      <c r="F646" s="23">
        <f t="shared" si="291"/>
        <v>780.68</v>
      </c>
      <c r="G646" s="23">
        <f t="shared" si="289"/>
        <v>780.68</v>
      </c>
      <c r="H646" s="23">
        <f t="shared" si="295"/>
        <v>780.68</v>
      </c>
      <c r="I646" s="86">
        <f t="shared" si="292"/>
        <v>909.75</v>
      </c>
      <c r="J646" s="23">
        <f t="shared" si="294"/>
        <v>909.75</v>
      </c>
      <c r="K646" s="23">
        <f t="shared" si="294"/>
        <v>909.75</v>
      </c>
      <c r="L646" s="23">
        <f t="shared" si="294"/>
        <v>909.75</v>
      </c>
      <c r="M646" s="23">
        <f t="shared" si="294"/>
        <v>909.75</v>
      </c>
      <c r="N646" s="23">
        <f t="shared" si="294"/>
        <v>909.75</v>
      </c>
      <c r="O646" s="2">
        <v>26.333300000000001</v>
      </c>
      <c r="AB646" s="112">
        <v>780.68</v>
      </c>
      <c r="AC646" s="115">
        <v>909.75</v>
      </c>
      <c r="AD646" s="116"/>
      <c r="AE646" s="2" t="s">
        <v>336</v>
      </c>
      <c r="AF646" s="109" t="s">
        <v>329</v>
      </c>
    </row>
    <row r="647" spans="2:32" s="2" customFormat="1" ht="12.9" customHeight="1">
      <c r="B647" s="31" t="s">
        <v>68</v>
      </c>
      <c r="C647" s="21">
        <f t="shared" si="284"/>
        <v>921.83</v>
      </c>
      <c r="E647" s="31" t="s">
        <v>68</v>
      </c>
      <c r="F647" s="23">
        <f t="shared" si="291"/>
        <v>792.76</v>
      </c>
      <c r="G647" s="23">
        <f t="shared" si="289"/>
        <v>792.76</v>
      </c>
      <c r="H647" s="23">
        <f t="shared" si="295"/>
        <v>792.76</v>
      </c>
      <c r="I647" s="86">
        <f t="shared" si="292"/>
        <v>921.83</v>
      </c>
      <c r="J647" s="23">
        <f t="shared" si="294"/>
        <v>921.83</v>
      </c>
      <c r="K647" s="23">
        <f t="shared" si="294"/>
        <v>921.83</v>
      </c>
      <c r="L647" s="23">
        <f t="shared" si="294"/>
        <v>921.83</v>
      </c>
      <c r="M647" s="23">
        <f t="shared" si="294"/>
        <v>921.83</v>
      </c>
      <c r="N647" s="23">
        <f t="shared" si="294"/>
        <v>921.83</v>
      </c>
      <c r="O647" s="2">
        <v>30</v>
      </c>
      <c r="AB647" s="112">
        <v>792.76</v>
      </c>
      <c r="AC647" s="115">
        <v>921.83</v>
      </c>
      <c r="AE647" s="2" t="s">
        <v>337</v>
      </c>
      <c r="AF647" s="109" t="s">
        <v>338</v>
      </c>
    </row>
    <row r="648" spans="2:32" s="2" customFormat="1" ht="12.9" customHeight="1">
      <c r="B648" s="31" t="s">
        <v>69</v>
      </c>
      <c r="C648" s="21">
        <f t="shared" si="284"/>
        <v>1125.1199999999999</v>
      </c>
      <c r="E648" s="31" t="s">
        <v>69</v>
      </c>
      <c r="F648" s="23">
        <f t="shared" si="291"/>
        <v>963.77</v>
      </c>
      <c r="G648" s="23">
        <f t="shared" si="289"/>
        <v>963.77</v>
      </c>
      <c r="H648" s="23">
        <f t="shared" si="295"/>
        <v>963.77</v>
      </c>
      <c r="I648" s="86">
        <f t="shared" si="292"/>
        <v>1125.1199999999999</v>
      </c>
      <c r="J648" s="23">
        <f t="shared" si="294"/>
        <v>1125.1199999999999</v>
      </c>
      <c r="K648" s="23">
        <f t="shared" si="294"/>
        <v>1125.1199999999999</v>
      </c>
      <c r="L648" s="23">
        <f t="shared" si="294"/>
        <v>1125.1199999999999</v>
      </c>
      <c r="M648" s="23">
        <f t="shared" si="294"/>
        <v>1125.1199999999999</v>
      </c>
      <c r="N648" s="23">
        <f t="shared" si="294"/>
        <v>1125.1199999999999</v>
      </c>
      <c r="O648" s="2">
        <v>32.916666999999997</v>
      </c>
      <c r="AB648" s="112">
        <v>963.77</v>
      </c>
      <c r="AC648" s="115">
        <v>1125.1199999999999</v>
      </c>
      <c r="AE648" s="2" t="s">
        <v>339</v>
      </c>
      <c r="AF648" s="109" t="s">
        <v>329</v>
      </c>
    </row>
    <row r="649" spans="2:32" s="2" customFormat="1" ht="12.9" customHeight="1">
      <c r="B649" s="33" t="s">
        <v>70</v>
      </c>
      <c r="C649" s="21">
        <f t="shared" si="284"/>
        <v>1149.27</v>
      </c>
      <c r="E649" s="33" t="s">
        <v>70</v>
      </c>
      <c r="F649" s="23">
        <f t="shared" si="291"/>
        <v>987.93</v>
      </c>
      <c r="G649" s="23">
        <f t="shared" si="289"/>
        <v>987.93</v>
      </c>
      <c r="H649" s="23">
        <f t="shared" si="295"/>
        <v>987.93</v>
      </c>
      <c r="I649" s="86">
        <f t="shared" si="292"/>
        <v>1149.27</v>
      </c>
      <c r="J649" s="23">
        <f t="shared" si="294"/>
        <v>1149.27</v>
      </c>
      <c r="K649" s="23">
        <f t="shared" si="294"/>
        <v>1149.27</v>
      </c>
      <c r="L649" s="23">
        <f t="shared" si="294"/>
        <v>1149.27</v>
      </c>
      <c r="M649" s="23">
        <f t="shared" si="294"/>
        <v>1149.27</v>
      </c>
      <c r="N649" s="23">
        <f t="shared" si="294"/>
        <v>1149.27</v>
      </c>
      <c r="O649" s="2">
        <v>35</v>
      </c>
      <c r="AB649" s="19">
        <v>987.93</v>
      </c>
      <c r="AC649" s="19">
        <v>1149.27</v>
      </c>
      <c r="AE649" s="2" t="s">
        <v>340</v>
      </c>
      <c r="AF649" s="2" t="s">
        <v>341</v>
      </c>
    </row>
    <row r="650" spans="2:32" s="2" customFormat="1" ht="12.9" customHeight="1">
      <c r="B650" s="34" t="s">
        <v>71</v>
      </c>
      <c r="C650" s="21">
        <f t="shared" si="284"/>
        <v>1149.27</v>
      </c>
      <c r="E650" s="34" t="s">
        <v>71</v>
      </c>
      <c r="F650" s="23">
        <f t="shared" si="291"/>
        <v>987.93</v>
      </c>
      <c r="G650" s="23">
        <f t="shared" si="289"/>
        <v>987.93</v>
      </c>
      <c r="H650" s="23">
        <f t="shared" si="295"/>
        <v>987.93</v>
      </c>
      <c r="I650" s="86">
        <f t="shared" si="292"/>
        <v>1149.27</v>
      </c>
      <c r="J650" s="23">
        <f t="shared" si="294"/>
        <v>1149.27</v>
      </c>
      <c r="K650" s="23">
        <f t="shared" si="294"/>
        <v>1149.27</v>
      </c>
      <c r="L650" s="23">
        <f t="shared" si="294"/>
        <v>1149.27</v>
      </c>
      <c r="M650" s="23">
        <f t="shared" si="294"/>
        <v>1149.27</v>
      </c>
      <c r="N650" s="23">
        <f t="shared" si="294"/>
        <v>1149.27</v>
      </c>
      <c r="O650" s="2">
        <v>40</v>
      </c>
      <c r="AB650" s="19">
        <f>AB649</f>
        <v>987.93</v>
      </c>
      <c r="AC650" s="19">
        <f>AC649</f>
        <v>1149.27</v>
      </c>
      <c r="AE650" s="2" t="s">
        <v>342</v>
      </c>
      <c r="AF650" s="2" t="s">
        <v>343</v>
      </c>
    </row>
    <row r="651" spans="2:32" s="2" customFormat="1" ht="12.9" customHeight="1">
      <c r="B651" s="34" t="s">
        <v>115</v>
      </c>
      <c r="C651" s="21">
        <f t="shared" si="284"/>
        <v>24.15</v>
      </c>
      <c r="E651" s="118" t="s">
        <v>344</v>
      </c>
      <c r="F651" s="119">
        <f t="shared" ref="F651:N651" si="296">IF($C$3&gt;=$O$650,F650,IF($C$3&gt;=$O$649,F649,IF($C$3&gt;=$O$648,F648,IF($C$3&gt;=$O$647,F647,IF($C$3&gt;=$O$646,F646,IF($C$3&gt;=$O$645,F645,IF($C$3&gt;=$O$644,F644,IF($C$3&gt;=$O$643,F643,IF($C$3&gt;=$O$642,F642,IF($C$3&gt;=$O$641,F641,IF($C$3&gt;=$O$640,F640,IF($C$3&gt;=$O$639,F639,IF($C$3&gt;=$O$638,F638,0)))))))))))))</f>
        <v>24.15</v>
      </c>
      <c r="G651" s="119">
        <f t="shared" si="296"/>
        <v>24.15</v>
      </c>
      <c r="H651" s="119">
        <f t="shared" si="296"/>
        <v>24.15</v>
      </c>
      <c r="I651" s="119">
        <f t="shared" si="296"/>
        <v>24.15</v>
      </c>
      <c r="J651" s="119">
        <f t="shared" si="296"/>
        <v>24.15</v>
      </c>
      <c r="K651" s="119">
        <f t="shared" si="296"/>
        <v>24.15</v>
      </c>
      <c r="L651" s="119">
        <f t="shared" si="296"/>
        <v>24.15</v>
      </c>
      <c r="M651" s="119">
        <f t="shared" si="296"/>
        <v>24.15</v>
      </c>
      <c r="N651" s="119">
        <f t="shared" si="296"/>
        <v>24.15</v>
      </c>
    </row>
    <row r="652" spans="2:32" s="2" customFormat="1" ht="12.9" customHeight="1">
      <c r="B652" s="35" t="s">
        <v>109</v>
      </c>
      <c r="C652" s="21">
        <f t="shared" si="284"/>
        <v>0</v>
      </c>
      <c r="E652" s="35" t="s">
        <v>109</v>
      </c>
      <c r="F652" s="27">
        <v>136.38</v>
      </c>
      <c r="G652" s="23"/>
      <c r="H652" s="23"/>
      <c r="I652" s="23"/>
      <c r="J652" s="23"/>
      <c r="K652" s="23"/>
      <c r="L652" s="23"/>
      <c r="M652" s="23"/>
      <c r="N652" s="23"/>
    </row>
    <row r="653" spans="2:32" s="2" customFormat="1" ht="12.9" customHeight="1">
      <c r="B653" s="39" t="s">
        <v>119</v>
      </c>
      <c r="C653" s="21">
        <f t="shared" si="284"/>
        <v>-51.68</v>
      </c>
      <c r="E653" s="39" t="s">
        <v>119</v>
      </c>
      <c r="F653" s="50">
        <f t="shared" ref="F653:N653" si="297">+F77</f>
        <v>-40.68</v>
      </c>
      <c r="G653" s="50">
        <f t="shared" si="297"/>
        <v>-40.68</v>
      </c>
      <c r="H653" s="50">
        <f t="shared" si="297"/>
        <v>-40.68</v>
      </c>
      <c r="I653" s="50">
        <f t="shared" si="297"/>
        <v>-51.68</v>
      </c>
      <c r="J653" s="50">
        <f t="shared" si="297"/>
        <v>-51.68</v>
      </c>
      <c r="K653" s="50">
        <f t="shared" si="297"/>
        <v>-51.68</v>
      </c>
      <c r="L653" s="50">
        <f t="shared" si="297"/>
        <v>-51.68</v>
      </c>
      <c r="M653" s="50">
        <f t="shared" si="297"/>
        <v>-51.68</v>
      </c>
      <c r="N653" s="50">
        <f t="shared" si="297"/>
        <v>-51.68</v>
      </c>
    </row>
    <row r="654" spans="2:32" s="2" customFormat="1" ht="12.9" customHeight="1">
      <c r="B654" s="39" t="s">
        <v>121</v>
      </c>
      <c r="C654" s="21">
        <f t="shared" si="284"/>
        <v>118.04</v>
      </c>
      <c r="E654" s="39" t="s">
        <v>121</v>
      </c>
      <c r="F654" s="50">
        <f t="shared" ref="F654:N654" si="298">+F78</f>
        <v>-92.9</v>
      </c>
      <c r="G654" s="50">
        <f t="shared" si="298"/>
        <v>-92.9</v>
      </c>
      <c r="H654" s="50">
        <f t="shared" si="298"/>
        <v>-92.9</v>
      </c>
      <c r="I654" s="50">
        <f t="shared" si="298"/>
        <v>118.04</v>
      </c>
      <c r="J654" s="50">
        <f t="shared" si="298"/>
        <v>118.04</v>
      </c>
      <c r="K654" s="50">
        <f t="shared" si="298"/>
        <v>118.04</v>
      </c>
      <c r="L654" s="50">
        <f t="shared" si="298"/>
        <v>118.04</v>
      </c>
      <c r="M654" s="50">
        <f t="shared" si="298"/>
        <v>118.04</v>
      </c>
      <c r="N654" s="50">
        <f t="shared" si="298"/>
        <v>118.04</v>
      </c>
    </row>
    <row r="655" spans="2:32">
      <c r="B655" s="41" t="s">
        <v>80</v>
      </c>
      <c r="C655" s="21">
        <f t="shared" si="284"/>
        <v>47291.16</v>
      </c>
      <c r="E655" s="42" t="s">
        <v>80</v>
      </c>
      <c r="F655" s="69">
        <f>(F630+F635+F651)*12+((F631+F635+F651)*2)+(F637*14)</f>
        <v>37068.78</v>
      </c>
      <c r="G655" s="69">
        <f t="shared" ref="G655:N655" si="299">(G630+G635+G651)*12+((G631+G635+G651)*2)+(G637*14)</f>
        <v>38957.520000000004</v>
      </c>
      <c r="H655" s="69">
        <f t="shared" si="299"/>
        <v>38957.520000000004</v>
      </c>
      <c r="I655" s="69">
        <f t="shared" si="299"/>
        <v>47291.16</v>
      </c>
      <c r="J655" s="69">
        <f t="shared" si="299"/>
        <v>42547.82</v>
      </c>
      <c r="K655" s="69">
        <f t="shared" si="299"/>
        <v>42547.82</v>
      </c>
      <c r="L655" s="69">
        <f t="shared" si="299"/>
        <v>42547.82</v>
      </c>
      <c r="M655" s="69">
        <f t="shared" si="299"/>
        <v>44445.100000000006</v>
      </c>
      <c r="N655" s="69">
        <f t="shared" si="299"/>
        <v>47185.740000000005</v>
      </c>
    </row>
  </sheetData>
  <mergeCells count="10">
    <mergeCell ref="V456:W456"/>
    <mergeCell ref="Z494:Z498"/>
    <mergeCell ref="AB626:AB627"/>
    <mergeCell ref="E2:G2"/>
    <mergeCell ref="P35:T35"/>
    <mergeCell ref="U35:X35"/>
    <mergeCell ref="Q175:R175"/>
    <mergeCell ref="S175:T175"/>
    <mergeCell ref="U175:V175"/>
    <mergeCell ref="W175:X175"/>
  </mergeCells>
  <pageMargins left="0.7" right="0.7" top="0.75" bottom="0.75" header="0.3" footer="0.3"/>
  <pageSetup paperSize="9" orientation="portrait"/>
  <ignoredErrors>
    <ignoredError sqref="C169 I523 I631 J562:N562 J454:N454 J418:N418 J274:N274 J238:N238 J94:L9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9" sqref="B9"/>
    </sheetView>
  </sheetViews>
  <sheetFormatPr baseColWidth="10" defaultColWidth="11" defaultRowHeight="14.4"/>
  <cols>
    <col min="1" max="1" width="20.5546875" customWidth="1"/>
  </cols>
  <sheetData>
    <row r="1" spans="1:2">
      <c r="A1" s="1" t="s">
        <v>345</v>
      </c>
      <c r="B1" s="1" t="s">
        <v>346</v>
      </c>
    </row>
    <row r="2" spans="1:2">
      <c r="A2" t="s">
        <v>347</v>
      </c>
    </row>
    <row r="3" spans="1:2">
      <c r="A3" t="s">
        <v>348</v>
      </c>
      <c r="B3" t="s">
        <v>349</v>
      </c>
    </row>
    <row r="4" spans="1:2">
      <c r="A4" t="s">
        <v>347</v>
      </c>
      <c r="B4" t="s">
        <v>350</v>
      </c>
    </row>
    <row r="5" spans="1:2">
      <c r="A5" t="s">
        <v>351</v>
      </c>
    </row>
    <row r="6" spans="1:2">
      <c r="A6" t="s">
        <v>352</v>
      </c>
    </row>
    <row r="7" spans="1:2">
      <c r="A7" t="s">
        <v>353</v>
      </c>
      <c r="B7" t="s">
        <v>354</v>
      </c>
    </row>
    <row r="8" spans="1:2">
      <c r="A8" t="s">
        <v>355</v>
      </c>
    </row>
    <row r="9" spans="1:2">
      <c r="A9" s="1" t="s">
        <v>356</v>
      </c>
      <c r="B9" s="1" t="s">
        <v>357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 otherUserPermission="visible">
    <arrUserId title="Rango1" rangeCreator="" othersAccessPermission="edit"/>
  </rangeList>
  <rangeList sheetStid="11" master="" otherUserPermission="visible"/>
  <rangeList sheetStid="1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Nómina mensual</vt:lpstr>
      <vt:lpstr>Retribuciones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JAngel</dc:creator>
  <cp:lastModifiedBy>César González</cp:lastModifiedBy>
  <cp:lastPrinted>2026-06-08T07:40:00Z</cp:lastPrinted>
  <dcterms:created xsi:type="dcterms:W3CDTF">2010-01-09T16:18:00Z</dcterms:created>
  <dcterms:modified xsi:type="dcterms:W3CDTF">2026-09-17T11:44:26Z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D8F0C5BB58EF48AE85672EEA25FDE7F7_12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